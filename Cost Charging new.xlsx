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39" documentId="11_AD193783DCF2FADD1DC9F615A4296CE2CE235E58" xr6:coauthVersionLast="47" xr6:coauthVersionMax="47" xr10:uidLastSave="{7A6380B3-EDD6-42B1-886D-39B2E700273C}"/>
  <bookViews>
    <workbookView xWindow="240" yWindow="105" windowWidth="14805" windowHeight="8010" activeTab="1" xr2:uid="{00000000-000D-0000-FFFF-FFFF00000000}"/>
  </bookViews>
  <sheets>
    <sheet name="Sheet1" sheetId="1" r:id="rId1"/>
    <sheet name="Sheet3" sheetId="3" r:id="rId2"/>
    <sheet name="Sheet4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3" l="1"/>
  <c r="B75" i="3"/>
  <c r="F74" i="3"/>
  <c r="F73" i="3"/>
  <c r="F72" i="3"/>
  <c r="D72" i="3"/>
  <c r="F71" i="3"/>
  <c r="D71" i="3"/>
  <c r="F70" i="3"/>
  <c r="D70" i="3"/>
  <c r="F69" i="3"/>
  <c r="D69" i="3"/>
  <c r="F68" i="3"/>
  <c r="D68" i="3"/>
  <c r="F67" i="3"/>
  <c r="D67" i="3"/>
  <c r="F66" i="3"/>
  <c r="D66" i="3"/>
  <c r="F65" i="3"/>
  <c r="D65" i="3"/>
  <c r="F64" i="3"/>
  <c r="D64" i="3"/>
  <c r="F63" i="3"/>
  <c r="D63" i="3"/>
  <c r="F62" i="3"/>
  <c r="D62" i="3"/>
  <c r="F61" i="3"/>
  <c r="D61" i="3"/>
  <c r="F60" i="3"/>
  <c r="F75" i="3" s="1"/>
  <c r="D60" i="3"/>
  <c r="D75" i="3" s="1"/>
  <c r="I58" i="3"/>
  <c r="C56" i="3"/>
  <c r="B56" i="3"/>
  <c r="F55" i="3"/>
  <c r="D55" i="3"/>
  <c r="E55" i="3" s="1"/>
  <c r="G55" i="3" s="1"/>
  <c r="F54" i="3"/>
  <c r="D54" i="3"/>
  <c r="E54" i="3" s="1"/>
  <c r="G54" i="3" s="1"/>
  <c r="F53" i="3"/>
  <c r="D53" i="3"/>
  <c r="E53" i="3" s="1"/>
  <c r="G53" i="3" s="1"/>
  <c r="F52" i="3"/>
  <c r="D52" i="3"/>
  <c r="E52" i="3" s="1"/>
  <c r="G52" i="3" s="1"/>
  <c r="F51" i="3"/>
  <c r="D51" i="3"/>
  <c r="E51" i="3" s="1"/>
  <c r="G51" i="3" s="1"/>
  <c r="F50" i="3"/>
  <c r="D50" i="3"/>
  <c r="E50" i="3" s="1"/>
  <c r="G50" i="3" s="1"/>
  <c r="F49" i="3"/>
  <c r="D49" i="3"/>
  <c r="E49" i="3" s="1"/>
  <c r="G49" i="3" s="1"/>
  <c r="F48" i="3"/>
  <c r="D48" i="3"/>
  <c r="E48" i="3" s="1"/>
  <c r="G48" i="3" s="1"/>
  <c r="F47" i="3"/>
  <c r="D47" i="3"/>
  <c r="E47" i="3" s="1"/>
  <c r="G47" i="3" s="1"/>
  <c r="F46" i="3"/>
  <c r="D46" i="3"/>
  <c r="E46" i="3" s="1"/>
  <c r="G46" i="3" s="1"/>
  <c r="F45" i="3"/>
  <c r="D45" i="3"/>
  <c r="E45" i="3" s="1"/>
  <c r="G45" i="3" s="1"/>
  <c r="F44" i="3"/>
  <c r="D44" i="3"/>
  <c r="E44" i="3" s="1"/>
  <c r="G44" i="3" s="1"/>
  <c r="F43" i="3"/>
  <c r="D43" i="3"/>
  <c r="E43" i="3" s="1"/>
  <c r="G43" i="3" s="1"/>
  <c r="F42" i="3"/>
  <c r="D42" i="3"/>
  <c r="E42" i="3" s="1"/>
  <c r="G42" i="3" s="1"/>
  <c r="F41" i="3"/>
  <c r="F56" i="3" s="1"/>
  <c r="D41" i="3"/>
  <c r="I21" i="3"/>
  <c r="C37" i="3"/>
  <c r="B37" i="3"/>
  <c r="F36" i="3"/>
  <c r="E36" i="3"/>
  <c r="G36" i="3" s="1"/>
  <c r="D36" i="3"/>
  <c r="F35" i="3"/>
  <c r="E35" i="3"/>
  <c r="G35" i="3" s="1"/>
  <c r="D35" i="3"/>
  <c r="F34" i="3"/>
  <c r="E34" i="3"/>
  <c r="G34" i="3" s="1"/>
  <c r="D34" i="3"/>
  <c r="F33" i="3"/>
  <c r="E33" i="3"/>
  <c r="G33" i="3" s="1"/>
  <c r="D33" i="3"/>
  <c r="F32" i="3"/>
  <c r="E32" i="3"/>
  <c r="G32" i="3" s="1"/>
  <c r="D32" i="3"/>
  <c r="F31" i="3"/>
  <c r="E31" i="3"/>
  <c r="G31" i="3" s="1"/>
  <c r="D31" i="3"/>
  <c r="F30" i="3"/>
  <c r="E30" i="3"/>
  <c r="G30" i="3" s="1"/>
  <c r="D30" i="3"/>
  <c r="F29" i="3"/>
  <c r="E29" i="3"/>
  <c r="G29" i="3" s="1"/>
  <c r="D29" i="3"/>
  <c r="F28" i="3"/>
  <c r="E28" i="3"/>
  <c r="G28" i="3" s="1"/>
  <c r="D28" i="3"/>
  <c r="F27" i="3"/>
  <c r="E27" i="3"/>
  <c r="G27" i="3" s="1"/>
  <c r="D27" i="3"/>
  <c r="F26" i="3"/>
  <c r="E26" i="3"/>
  <c r="G26" i="3" s="1"/>
  <c r="D26" i="3"/>
  <c r="F25" i="3"/>
  <c r="E25" i="3"/>
  <c r="G25" i="3" s="1"/>
  <c r="D25" i="3"/>
  <c r="F24" i="3"/>
  <c r="E24" i="3"/>
  <c r="G24" i="3" s="1"/>
  <c r="D24" i="3"/>
  <c r="F23" i="3"/>
  <c r="F37" i="3" s="1"/>
  <c r="E23" i="3"/>
  <c r="D23" i="3"/>
  <c r="D37" i="3" s="1"/>
  <c r="C18" i="3"/>
  <c r="B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F18" i="3" s="1"/>
  <c r="D4" i="3"/>
  <c r="D18" i="3" s="1"/>
  <c r="I2" i="3"/>
  <c r="E173" i="1"/>
  <c r="F173" i="1"/>
  <c r="E74" i="3" l="1"/>
  <c r="G74" i="3" s="1"/>
  <c r="E73" i="3"/>
  <c r="G73" i="3" s="1"/>
  <c r="E72" i="3"/>
  <c r="G72" i="3" s="1"/>
  <c r="E71" i="3"/>
  <c r="G71" i="3" s="1"/>
  <c r="E70" i="3"/>
  <c r="G70" i="3" s="1"/>
  <c r="E69" i="3"/>
  <c r="G69" i="3" s="1"/>
  <c r="E68" i="3"/>
  <c r="G68" i="3" s="1"/>
  <c r="E67" i="3"/>
  <c r="G67" i="3" s="1"/>
  <c r="E66" i="3"/>
  <c r="G66" i="3" s="1"/>
  <c r="E65" i="3"/>
  <c r="G65" i="3" s="1"/>
  <c r="E64" i="3"/>
  <c r="G64" i="3" s="1"/>
  <c r="E63" i="3"/>
  <c r="G63" i="3" s="1"/>
  <c r="E62" i="3"/>
  <c r="G62" i="3" s="1"/>
  <c r="E61" i="3"/>
  <c r="G61" i="3" s="1"/>
  <c r="E60" i="3"/>
  <c r="D56" i="3"/>
  <c r="E41" i="3"/>
  <c r="E37" i="3"/>
  <c r="G23" i="3"/>
  <c r="G37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5" i="3"/>
  <c r="G5" i="3" s="1"/>
  <c r="E4" i="3"/>
  <c r="E75" i="3" l="1"/>
  <c r="G60" i="3"/>
  <c r="G75" i="3" s="1"/>
  <c r="E56" i="3"/>
  <c r="G41" i="3"/>
  <c r="G56" i="3" s="1"/>
  <c r="E18" i="3"/>
  <c r="G4" i="3"/>
  <c r="G18" i="3" s="1"/>
</calcChain>
</file>

<file path=xl/sharedStrings.xml><?xml version="1.0" encoding="utf-8"?>
<sst xmlns="http://schemas.openxmlformats.org/spreadsheetml/2006/main" count="213" uniqueCount="196">
  <si>
    <t>DIV.</t>
  </si>
  <si>
    <t>Department</t>
  </si>
  <si>
    <t>Cost Centre</t>
  </si>
  <si>
    <t>Cost Charged in DEC-25 for Mobile Cranes provided in NOV-25</t>
  </si>
  <si>
    <t>Cost (40T - 400T)</t>
  </si>
  <si>
    <t>Cost (Pick n Carry)</t>
  </si>
  <si>
    <t>UAE F-15(1)</t>
  </si>
  <si>
    <t>IRON MAKING</t>
  </si>
  <si>
    <t>A-F BF</t>
  </si>
  <si>
    <t>A-F BF, IEM-1</t>
  </si>
  <si>
    <t>A-F BF, IEM-2</t>
  </si>
  <si>
    <t>C-BF</t>
  </si>
  <si>
    <t>E-BF</t>
  </si>
  <si>
    <t>F-BF</t>
  </si>
  <si>
    <t>G-BF</t>
  </si>
  <si>
    <t>G-BF, IEM</t>
  </si>
  <si>
    <t>G-BF, Belt Group</t>
  </si>
  <si>
    <t>G-BF-SSP</t>
  </si>
  <si>
    <t>H-BF (Mechanical)</t>
  </si>
  <si>
    <t>H-BF (Operation)-1</t>
  </si>
  <si>
    <t>H-BF (Operation)-2</t>
  </si>
  <si>
    <t>I-BF</t>
  </si>
  <si>
    <t>Coke Plant, Battery 5,6,7</t>
  </si>
  <si>
    <t>Coke Plant, BAT 10/11</t>
  </si>
  <si>
    <t>Coke Plant, CDQ 10/11</t>
  </si>
  <si>
    <t>Coke Plant Bat 8,9</t>
  </si>
  <si>
    <t>Coke Plant Old BPP</t>
  </si>
  <si>
    <t>Coke Plant New BPP</t>
  </si>
  <si>
    <t>Coke Plant- 1</t>
  </si>
  <si>
    <t>Coke Plant- 2</t>
  </si>
  <si>
    <t>Coke Plant- 3</t>
  </si>
  <si>
    <t>Coke Plant- 4</t>
  </si>
  <si>
    <t>Coke Plant- 5</t>
  </si>
  <si>
    <t>Coke Plant- 6</t>
  </si>
  <si>
    <t>Coke Plant- 7</t>
  </si>
  <si>
    <t>Coke Plant, IEM</t>
  </si>
  <si>
    <t>Sinter Plant-1 (Mech.)</t>
  </si>
  <si>
    <t>Sinter Plant-1 (Operation-1)</t>
  </si>
  <si>
    <t>Sinter Plant-1 (Operation-2)</t>
  </si>
  <si>
    <t>Sinter Plant-1 (IEM)</t>
  </si>
  <si>
    <t>Sinter Plant-2</t>
  </si>
  <si>
    <t>Sinter Plant-2 (IEM)</t>
  </si>
  <si>
    <t>Sinter Plant-3</t>
  </si>
  <si>
    <t>Sinter Plant-3 (IEM-1)</t>
  </si>
  <si>
    <t>Sinter Plant-3 (IEM-2)</t>
  </si>
  <si>
    <t>Sinter Plant-4</t>
  </si>
  <si>
    <t>Sinter Plant-4 (IEM-1)</t>
  </si>
  <si>
    <t>Sinter Plant-4 (IEM-2)</t>
  </si>
  <si>
    <t>RMBB-1 (Mech)</t>
  </si>
  <si>
    <t>RMBB-1 (Operation)</t>
  </si>
  <si>
    <t>RMBB#2-1</t>
  </si>
  <si>
    <t>RMBB#2-2</t>
  </si>
  <si>
    <t>RMBB#2-3</t>
  </si>
  <si>
    <t>Pellet Plant (Mech)-1</t>
  </si>
  <si>
    <t>Pellet Plant (Mech)-2</t>
  </si>
  <si>
    <t>Pellet Plant Operation-1</t>
  </si>
  <si>
    <t>Pellet Plant Operation-2</t>
  </si>
  <si>
    <t>Pellet Plant-IEM</t>
  </si>
  <si>
    <t>Pellet Plant-FME</t>
  </si>
  <si>
    <t>FMM-IM</t>
  </si>
  <si>
    <t>STEEL MAKING</t>
  </si>
  <si>
    <t>LD#1- 1</t>
  </si>
  <si>
    <t>LD#1- 2</t>
  </si>
  <si>
    <t>LD#1- 3</t>
  </si>
  <si>
    <t>LD#1- 4</t>
  </si>
  <si>
    <t>LD#1-Operation</t>
  </si>
  <si>
    <t>LD#1-IEM</t>
  </si>
  <si>
    <t>LD#1-FME</t>
  </si>
  <si>
    <t>LD#2- 1</t>
  </si>
  <si>
    <t>LD#2- 2</t>
  </si>
  <si>
    <t>LD#2- 3</t>
  </si>
  <si>
    <t>LD#2- 4</t>
  </si>
  <si>
    <t>LD#2- 5</t>
  </si>
  <si>
    <t>LD#2- 6</t>
  </si>
  <si>
    <t>LD#2, IEM</t>
  </si>
  <si>
    <t>LD#2, FME</t>
  </si>
  <si>
    <t>LD#2, BIM</t>
  </si>
  <si>
    <t>LD#3 (Mechanical) -1</t>
  </si>
  <si>
    <t>LD#3 (Mechanical) -2</t>
  </si>
  <si>
    <t>LD#3 (Operation)</t>
  </si>
  <si>
    <t>RMM Mech-1</t>
  </si>
  <si>
    <t>RMM Mech-2</t>
  </si>
  <si>
    <t>RMM Mech-3</t>
  </si>
  <si>
    <t>RMM OPN</t>
  </si>
  <si>
    <t>RMM Coke</t>
  </si>
  <si>
    <t>Lime Plant</t>
  </si>
  <si>
    <t>Belt Group</t>
  </si>
  <si>
    <t>SPP</t>
  </si>
  <si>
    <t>SGDP</t>
  </si>
  <si>
    <t>MILLS</t>
  </si>
  <si>
    <t>HSM</t>
  </si>
  <si>
    <t>HSM, FME-1</t>
  </si>
  <si>
    <t>HSM, FME-2</t>
  </si>
  <si>
    <t>CRM-1</t>
  </si>
  <si>
    <t>CRM-2</t>
  </si>
  <si>
    <t>CRM-3</t>
  </si>
  <si>
    <t>CRM-4</t>
  </si>
  <si>
    <t>CRM-5</t>
  </si>
  <si>
    <t>CRM ARP</t>
  </si>
  <si>
    <t>CRM BAF</t>
  </si>
  <si>
    <t>CRM F&amp;D</t>
  </si>
  <si>
    <t>TSCR</t>
  </si>
  <si>
    <t>TSCR-FME</t>
  </si>
  <si>
    <t>MM</t>
  </si>
  <si>
    <t>MM, IEM</t>
  </si>
  <si>
    <t>WRM</t>
  </si>
  <si>
    <t>NBM-1</t>
  </si>
  <si>
    <t>NBM-2</t>
  </si>
  <si>
    <t>POWER SYSTEM</t>
  </si>
  <si>
    <t>PH#3</t>
  </si>
  <si>
    <t>PH#3 -2</t>
  </si>
  <si>
    <t>PH#4</t>
  </si>
  <si>
    <t>PH#5 -1</t>
  </si>
  <si>
    <t>PH#5 -2</t>
  </si>
  <si>
    <r>
      <t>BH</t>
    </r>
    <r>
      <rPr>
        <i/>
        <sz val="14"/>
        <color rgb="FF000000"/>
        <rFont val="Segoe UI"/>
        <family val="2"/>
      </rPr>
      <t>#2</t>
    </r>
    <r>
      <rPr>
        <sz val="11"/>
        <color theme="1"/>
        <rFont val="Calibri"/>
        <scheme val="minor"/>
      </rPr>
      <t/>
    </r>
  </si>
  <si>
    <r>
      <t>BH</t>
    </r>
    <r>
      <rPr>
        <i/>
        <sz val="14"/>
        <color rgb="FF000000"/>
        <rFont val="Segoe UI"/>
        <family val="2"/>
      </rPr>
      <t>#3</t>
    </r>
  </si>
  <si>
    <r>
      <t>BH</t>
    </r>
    <r>
      <rPr>
        <i/>
        <sz val="11"/>
        <color rgb="FF000000"/>
        <rFont val="Segoe UI"/>
        <family val="2"/>
      </rPr>
      <t>#4</t>
    </r>
    <r>
      <rPr>
        <sz val="11"/>
        <color theme="1"/>
        <rFont val="Calibri"/>
        <scheme val="minor"/>
      </rPr>
      <t/>
    </r>
  </si>
  <si>
    <t>BPH-1</t>
  </si>
  <si>
    <t>BPH-2</t>
  </si>
  <si>
    <t>BPH-3</t>
  </si>
  <si>
    <t>BPH-4</t>
  </si>
  <si>
    <t>OTHER</t>
  </si>
  <si>
    <t>FMM</t>
  </si>
  <si>
    <t>Belt Group-1</t>
  </si>
  <si>
    <t>Belt Group-2</t>
  </si>
  <si>
    <t>GORC</t>
  </si>
  <si>
    <t>SMD</t>
  </si>
  <si>
    <t>RMM Logistics</t>
  </si>
  <si>
    <t>Central Hub</t>
  </si>
  <si>
    <t>Fire Brigade</t>
  </si>
  <si>
    <t>Water Manag</t>
  </si>
  <si>
    <t>CRM BARA</t>
  </si>
  <si>
    <t>IBMD-1</t>
  </si>
  <si>
    <t>IBMD-2</t>
  </si>
  <si>
    <t>IBMD-3</t>
  </si>
  <si>
    <t>FME-1</t>
  </si>
  <si>
    <t>FME-2</t>
  </si>
  <si>
    <t>FME-3</t>
  </si>
  <si>
    <t>FME-4</t>
  </si>
  <si>
    <t>FME-5</t>
  </si>
  <si>
    <t>FMD MECHANICAL</t>
  </si>
  <si>
    <t>FMD-1</t>
  </si>
  <si>
    <t>FMD-2</t>
  </si>
  <si>
    <t>FMD-3</t>
  </si>
  <si>
    <t>FMD GCP-1</t>
  </si>
  <si>
    <t>FMD GCP-2</t>
  </si>
  <si>
    <t>FMD GAS LINE</t>
  </si>
  <si>
    <t>FMD GMS</t>
  </si>
  <si>
    <t>FMD GHB</t>
  </si>
  <si>
    <t>40 MW-1</t>
  </si>
  <si>
    <t>40 MW-2</t>
  </si>
  <si>
    <t>E&amp;P</t>
  </si>
  <si>
    <t>E&amp;P-HSM</t>
  </si>
  <si>
    <t>T-30</t>
  </si>
  <si>
    <t xml:space="preserve">HML	</t>
  </si>
  <si>
    <t>MPDS</t>
  </si>
  <si>
    <t>MRP, IEM</t>
  </si>
  <si>
    <t>R&amp;D-1</t>
  </si>
  <si>
    <t>R&amp;D-2</t>
  </si>
  <si>
    <t>TWSGS</t>
  </si>
  <si>
    <t>Engg. Services (LP)</t>
  </si>
  <si>
    <t>Engg. Services (AC)</t>
  </si>
  <si>
    <t>Engg. Services (AC-CRM)</t>
  </si>
  <si>
    <t>Engg. Services (PP)</t>
  </si>
  <si>
    <t>Engg. Services (BIM-1)</t>
  </si>
  <si>
    <t>Engg. Services (BIM-2)</t>
  </si>
  <si>
    <t>Engg. Services (BIM-3)</t>
  </si>
  <si>
    <t>Engg. Services (BIM-4)</t>
  </si>
  <si>
    <t>Engg. Services (BIM-5)</t>
  </si>
  <si>
    <t>Engg. Services (BIM-6)</t>
  </si>
  <si>
    <t>Engg. Services (BIM SMD-1)</t>
  </si>
  <si>
    <t>Engg. Services (BIM SMD-2)</t>
  </si>
  <si>
    <t>Engg. Services (BIM LD#1)</t>
  </si>
  <si>
    <t>Engg. Services (BIM I-BF)</t>
  </si>
  <si>
    <t>Segment Shop</t>
  </si>
  <si>
    <t>EQMS, SME</t>
  </si>
  <si>
    <t>EQMS-1</t>
  </si>
  <si>
    <t>EQMS-2</t>
  </si>
  <si>
    <t>EQMS-3</t>
  </si>
  <si>
    <t>Delivery Management</t>
  </si>
  <si>
    <t>TSG</t>
  </si>
  <si>
    <t>LP112643</t>
  </si>
  <si>
    <t>Total</t>
  </si>
  <si>
    <t>CHARGING SUMMERY F-15(1)</t>
  </si>
  <si>
    <t>CC</t>
  </si>
  <si>
    <t>NORMAL HRS</t>
  </si>
  <si>
    <t>OT HRS</t>
  </si>
  <si>
    <t>MON. QTY</t>
  </si>
  <si>
    <t>MON. AMOUNT</t>
  </si>
  <si>
    <t>OT AMOUNT</t>
  </si>
  <si>
    <t>TOTAL</t>
  </si>
  <si>
    <t>CHARGING SUMMERY F-15(2)</t>
  </si>
  <si>
    <t>CHARGING SUMMERY (F-20-1)</t>
  </si>
  <si>
    <t>SHIFT</t>
  </si>
  <si>
    <t>CHARGING SUMMERY (TRX-23-1)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</si>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</sst>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000000"/>
      <name val="Aptos"/>
      <family val="2"/>
    </font>
    <font>
      <b/>
      <sz val="14"/>
      <color rgb="FF000000"/>
      <name val="Times New Roman"/>
    </font>
    <font>
      <sz val="14"/>
      <color rgb="FF000000"/>
      <name val="Segoe UI"/>
      <family val="2"/>
    </font>
    <font>
      <b/>
      <sz val="14"/>
      <color rgb="FF000000"/>
      <name val="Segoe UI"/>
      <family val="2"/>
    </font>
    <font>
      <b/>
      <sz val="14"/>
      <color theme="1"/>
      <name val="Times New Roman"/>
      <family val="1"/>
    </font>
    <font>
      <i/>
      <sz val="14"/>
      <color rgb="FF000000"/>
      <name val="Segoe UI"/>
      <family val="2"/>
    </font>
    <font>
      <i/>
      <sz val="11"/>
      <color rgb="FF000000"/>
      <name val="Segoe U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vertical="center" wrapText="1"/>
    </xf>
    <xf numFmtId="0" fontId="5" fillId="5" borderId="15" xfId="0" applyFont="1" applyFill="1" applyBorder="1" applyAlignment="1">
      <alignment horizontal="center" vertical="center" wrapText="1"/>
    </xf>
    <xf numFmtId="2" fontId="6" fillId="0" borderId="15" xfId="0" applyNumberFormat="1" applyFont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 wrapText="1"/>
    </xf>
    <xf numFmtId="0" fontId="4" fillId="4" borderId="17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horizontal="center" vertical="center" wrapText="1"/>
    </xf>
    <xf numFmtId="2" fontId="6" fillId="0" borderId="18" xfId="0" applyNumberFormat="1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2" fontId="6" fillId="0" borderId="20" xfId="0" applyNumberFormat="1" applyFont="1" applyBorder="1" applyAlignment="1">
      <alignment horizontal="center" vertical="center" wrapText="1"/>
    </xf>
    <xf numFmtId="0" fontId="4" fillId="4" borderId="18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vertical="center" wrapText="1"/>
    </xf>
    <xf numFmtId="0" fontId="5" fillId="5" borderId="24" xfId="0" applyFont="1" applyFill="1" applyBorder="1" applyAlignment="1">
      <alignment horizontal="center" vertical="center" wrapText="1"/>
    </xf>
    <xf numFmtId="2" fontId="6" fillId="0" borderId="24" xfId="0" applyNumberFormat="1" applyFont="1" applyBorder="1" applyAlignment="1">
      <alignment horizontal="center" vertical="center" wrapText="1"/>
    </xf>
    <xf numFmtId="2" fontId="6" fillId="0" borderId="25" xfId="0" applyNumberFormat="1" applyFont="1" applyBorder="1" applyAlignment="1">
      <alignment horizontal="center" vertical="center" wrapText="1"/>
    </xf>
    <xf numFmtId="2" fontId="10" fillId="0" borderId="28" xfId="0" applyNumberFormat="1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/>
    </xf>
    <xf numFmtId="2" fontId="11" fillId="0" borderId="10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" fontId="11" fillId="0" borderId="13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6" borderId="1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2" fontId="11" fillId="0" borderId="10" xfId="0" applyNumberFormat="1" applyFont="1" applyBorder="1" applyAlignment="1">
      <alignment horizontal="center"/>
    </xf>
    <xf numFmtId="0" fontId="0" fillId="0" borderId="13" xfId="0" applyBorder="1"/>
    <xf numFmtId="0" fontId="11" fillId="7" borderId="13" xfId="0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FM-INFRASTRUCTURE/Shared%20Documents/Crane%20Team/EMPLOYEES%20NAME%20WISE%20FOLDER/HeMaNT%20HarSH/KPI/Cost%20Charging/25-26/crane%20cost%20charging%20NOV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Cranes"/>
      <sheetName val="P&amp;C detail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73"/>
  <sheetViews>
    <sheetView topLeftCell="B1" workbookViewId="0">
      <selection activeCell="H6" sqref="H6"/>
    </sheetView>
  </sheetViews>
  <sheetFormatPr defaultRowHeight="15"/>
  <cols>
    <col min="2" max="6" width="23.42578125" customWidth="1"/>
    <col min="7" max="7" width="13" customWidth="1"/>
  </cols>
  <sheetData>
    <row r="2" spans="2:7" ht="51" customHeight="1">
      <c r="B2" s="1" t="s">
        <v>0</v>
      </c>
      <c r="C2" s="2" t="s">
        <v>1</v>
      </c>
      <c r="D2" s="2" t="s">
        <v>2</v>
      </c>
      <c r="E2" s="3" t="s">
        <v>3</v>
      </c>
      <c r="F2" s="4"/>
    </row>
    <row r="3" spans="2:7" ht="74.25" customHeight="1">
      <c r="B3" s="40"/>
      <c r="C3" s="39"/>
      <c r="D3" s="39"/>
      <c r="E3" s="5" t="s">
        <v>4</v>
      </c>
      <c r="F3" s="5" t="s">
        <v>5</v>
      </c>
      <c r="G3" s="73" t="s">
        <v>6</v>
      </c>
    </row>
    <row r="4" spans="2:7" ht="20.25">
      <c r="B4" s="36" t="s">
        <v>7</v>
      </c>
      <c r="C4" s="6" t="s">
        <v>8</v>
      </c>
      <c r="D4" s="7">
        <v>25225</v>
      </c>
      <c r="E4" s="8"/>
      <c r="F4" s="9"/>
    </row>
    <row r="5" spans="2:7" ht="20.25">
      <c r="B5" s="37"/>
      <c r="C5" s="10" t="s">
        <v>9</v>
      </c>
      <c r="D5" s="11">
        <v>20300</v>
      </c>
      <c r="E5" s="12"/>
      <c r="F5" s="13"/>
    </row>
    <row r="6" spans="2:7" ht="20.25">
      <c r="B6" s="37"/>
      <c r="C6" s="10" t="s">
        <v>10</v>
      </c>
      <c r="D6" s="11">
        <v>25242</v>
      </c>
      <c r="E6" s="12"/>
      <c r="F6" s="13"/>
    </row>
    <row r="7" spans="2:7" ht="20.25">
      <c r="B7" s="37"/>
      <c r="C7" s="10" t="s">
        <v>11</v>
      </c>
      <c r="D7" s="11">
        <v>25223</v>
      </c>
      <c r="E7" s="12"/>
      <c r="F7" s="13"/>
    </row>
    <row r="8" spans="2:7" ht="20.25">
      <c r="B8" s="37"/>
      <c r="C8" s="10" t="s">
        <v>12</v>
      </c>
      <c r="D8" s="11">
        <v>23222</v>
      </c>
      <c r="E8" s="12"/>
      <c r="F8" s="13"/>
    </row>
    <row r="9" spans="2:7" ht="20.25">
      <c r="B9" s="37"/>
      <c r="C9" s="10" t="s">
        <v>13</v>
      </c>
      <c r="D9" s="11">
        <v>25226</v>
      </c>
      <c r="E9" s="12"/>
      <c r="F9" s="13"/>
    </row>
    <row r="10" spans="2:7" ht="20.25">
      <c r="B10" s="37"/>
      <c r="C10" s="10" t="s">
        <v>14</v>
      </c>
      <c r="D10" s="11">
        <v>25320</v>
      </c>
      <c r="E10" s="12"/>
      <c r="F10" s="13"/>
    </row>
    <row r="11" spans="2:7" ht="20.25">
      <c r="B11" s="37"/>
      <c r="C11" s="10" t="s">
        <v>15</v>
      </c>
      <c r="D11" s="11">
        <v>20420</v>
      </c>
      <c r="E11" s="12"/>
      <c r="F11" s="13"/>
    </row>
    <row r="12" spans="2:7" ht="20.25">
      <c r="B12" s="37"/>
      <c r="C12" s="10" t="s">
        <v>16</v>
      </c>
      <c r="D12" s="11">
        <v>25230</v>
      </c>
      <c r="E12" s="12"/>
      <c r="F12" s="13"/>
    </row>
    <row r="13" spans="2:7" ht="20.25">
      <c r="B13" s="37"/>
      <c r="C13" s="10" t="s">
        <v>17</v>
      </c>
      <c r="D13" s="11">
        <v>40420</v>
      </c>
      <c r="E13" s="12"/>
      <c r="F13" s="13"/>
    </row>
    <row r="14" spans="2:7" ht="20.25">
      <c r="B14" s="37"/>
      <c r="C14" s="10" t="s">
        <v>18</v>
      </c>
      <c r="D14" s="11">
        <v>25325</v>
      </c>
      <c r="E14" s="12"/>
      <c r="F14" s="13"/>
    </row>
    <row r="15" spans="2:7" ht="41.25">
      <c r="B15" s="37"/>
      <c r="C15" s="10" t="s">
        <v>19</v>
      </c>
      <c r="D15" s="11">
        <v>25345</v>
      </c>
      <c r="E15" s="12"/>
      <c r="F15" s="13"/>
    </row>
    <row r="16" spans="2:7" ht="41.25">
      <c r="B16" s="37"/>
      <c r="C16" s="10" t="s">
        <v>20</v>
      </c>
      <c r="D16" s="11">
        <v>20520</v>
      </c>
      <c r="E16" s="12"/>
      <c r="F16" s="13"/>
    </row>
    <row r="17" spans="2:6" ht="20.25">
      <c r="B17" s="37"/>
      <c r="C17" s="10" t="s">
        <v>21</v>
      </c>
      <c r="D17" s="11">
        <v>25981</v>
      </c>
      <c r="E17" s="12"/>
      <c r="F17" s="13"/>
    </row>
    <row r="18" spans="2:6" ht="41.25">
      <c r="B18" s="37"/>
      <c r="C18" s="10" t="s">
        <v>22</v>
      </c>
      <c r="D18" s="11">
        <v>25021</v>
      </c>
      <c r="E18" s="12"/>
      <c r="F18" s="13"/>
    </row>
    <row r="19" spans="2:6" ht="41.25">
      <c r="B19" s="37"/>
      <c r="C19" s="10" t="s">
        <v>23</v>
      </c>
      <c r="D19" s="11">
        <v>25032</v>
      </c>
      <c r="E19" s="12"/>
      <c r="F19" s="13"/>
    </row>
    <row r="20" spans="2:6" ht="41.25">
      <c r="B20" s="37"/>
      <c r="C20" s="10" t="s">
        <v>24</v>
      </c>
      <c r="D20" s="11">
        <v>22203</v>
      </c>
      <c r="E20" s="12"/>
      <c r="F20" s="13"/>
    </row>
    <row r="21" spans="2:6" ht="20.25">
      <c r="B21" s="37"/>
      <c r="C21" s="10" t="s">
        <v>25</v>
      </c>
      <c r="D21" s="11">
        <v>25022</v>
      </c>
      <c r="E21" s="12"/>
      <c r="F21" s="13"/>
    </row>
    <row r="22" spans="2:6" ht="41.25">
      <c r="B22" s="37"/>
      <c r="C22" s="10" t="s">
        <v>26</v>
      </c>
      <c r="D22" s="11">
        <v>25023</v>
      </c>
      <c r="E22" s="12"/>
      <c r="F22" s="13"/>
    </row>
    <row r="23" spans="2:6" ht="41.25">
      <c r="B23" s="37"/>
      <c r="C23" s="10" t="s">
        <v>27</v>
      </c>
      <c r="D23" s="11">
        <v>25033</v>
      </c>
      <c r="E23" s="12"/>
      <c r="F23" s="13"/>
    </row>
    <row r="24" spans="2:6" ht="20.25">
      <c r="B24" s="37"/>
      <c r="C24" s="10" t="s">
        <v>28</v>
      </c>
      <c r="D24" s="11">
        <v>20150</v>
      </c>
      <c r="E24" s="12"/>
      <c r="F24" s="13"/>
    </row>
    <row r="25" spans="2:6" ht="20.25">
      <c r="B25" s="37"/>
      <c r="C25" s="10" t="s">
        <v>29</v>
      </c>
      <c r="D25" s="11">
        <v>20112</v>
      </c>
      <c r="E25" s="12"/>
      <c r="F25" s="13"/>
    </row>
    <row r="26" spans="2:6" ht="20.25">
      <c r="B26" s="37"/>
      <c r="C26" s="10" t="s">
        <v>30</v>
      </c>
      <c r="D26" s="11">
        <v>20113</v>
      </c>
      <c r="E26" s="12"/>
      <c r="F26" s="13"/>
    </row>
    <row r="27" spans="2:6" ht="20.25">
      <c r="B27" s="37"/>
      <c r="C27" s="10" t="s">
        <v>31</v>
      </c>
      <c r="D27" s="11">
        <v>20140</v>
      </c>
      <c r="E27" s="12"/>
      <c r="F27" s="13"/>
    </row>
    <row r="28" spans="2:6" ht="20.25">
      <c r="B28" s="37"/>
      <c r="C28" s="10" t="s">
        <v>32</v>
      </c>
      <c r="D28" s="11">
        <v>25042</v>
      </c>
      <c r="E28" s="12"/>
      <c r="F28" s="13"/>
    </row>
    <row r="29" spans="2:6" ht="20.25">
      <c r="B29" s="37"/>
      <c r="C29" s="10" t="s">
        <v>33</v>
      </c>
      <c r="D29" s="11">
        <v>25035</v>
      </c>
      <c r="E29" s="12"/>
      <c r="F29" s="13"/>
    </row>
    <row r="30" spans="2:6" ht="20.25">
      <c r="B30" s="37"/>
      <c r="C30" s="10" t="s">
        <v>34</v>
      </c>
      <c r="D30" s="11">
        <v>25036</v>
      </c>
      <c r="E30" s="12"/>
      <c r="F30" s="13"/>
    </row>
    <row r="31" spans="2:6" ht="20.25">
      <c r="B31" s="37"/>
      <c r="C31" s="10" t="s">
        <v>35</v>
      </c>
      <c r="D31" s="11">
        <v>25043</v>
      </c>
      <c r="E31" s="12"/>
      <c r="F31" s="13"/>
    </row>
    <row r="32" spans="2:6" ht="41.25">
      <c r="B32" s="37"/>
      <c r="C32" s="10" t="s">
        <v>36</v>
      </c>
      <c r="D32" s="11">
        <v>25121</v>
      </c>
      <c r="E32" s="12"/>
      <c r="F32" s="13"/>
    </row>
    <row r="33" spans="2:6" ht="41.25">
      <c r="B33" s="37"/>
      <c r="C33" s="10" t="s">
        <v>37</v>
      </c>
      <c r="D33" s="11">
        <v>20230</v>
      </c>
      <c r="E33" s="12"/>
      <c r="F33" s="13"/>
    </row>
    <row r="34" spans="2:6" ht="41.25">
      <c r="B34" s="37"/>
      <c r="C34" s="10" t="s">
        <v>38</v>
      </c>
      <c r="D34" s="11">
        <v>23020</v>
      </c>
      <c r="E34" s="12"/>
      <c r="F34" s="13"/>
    </row>
    <row r="35" spans="2:6" ht="41.25">
      <c r="B35" s="37"/>
      <c r="C35" s="10" t="s">
        <v>39</v>
      </c>
      <c r="D35" s="11">
        <v>25141</v>
      </c>
      <c r="E35" s="12"/>
      <c r="F35" s="13"/>
    </row>
    <row r="36" spans="2:6" ht="20.25">
      <c r="B36" s="37"/>
      <c r="C36" s="10" t="s">
        <v>40</v>
      </c>
      <c r="D36" s="11">
        <v>25122</v>
      </c>
      <c r="E36" s="12"/>
      <c r="F36" s="13"/>
    </row>
    <row r="37" spans="2:6" ht="41.25">
      <c r="B37" s="37"/>
      <c r="C37" s="10" t="s">
        <v>41</v>
      </c>
      <c r="D37" s="11">
        <v>25142</v>
      </c>
      <c r="E37" s="12"/>
      <c r="F37" s="13"/>
    </row>
    <row r="38" spans="2:6" ht="20.25">
      <c r="B38" s="37"/>
      <c r="C38" s="10" t="s">
        <v>42</v>
      </c>
      <c r="D38" s="11">
        <v>25123</v>
      </c>
      <c r="E38" s="12"/>
      <c r="F38" s="13"/>
    </row>
    <row r="39" spans="2:6" ht="41.25">
      <c r="B39" s="37"/>
      <c r="C39" s="10" t="s">
        <v>43</v>
      </c>
      <c r="D39" s="11">
        <v>25143</v>
      </c>
      <c r="E39" s="12"/>
      <c r="F39" s="13"/>
    </row>
    <row r="40" spans="2:6" ht="41.25">
      <c r="B40" s="37"/>
      <c r="C40" s="10" t="s">
        <v>44</v>
      </c>
      <c r="D40" s="11">
        <v>23325</v>
      </c>
      <c r="E40" s="12"/>
      <c r="F40" s="13"/>
    </row>
    <row r="41" spans="2:6" ht="20.25">
      <c r="B41" s="37"/>
      <c r="C41" s="10" t="s">
        <v>45</v>
      </c>
      <c r="D41" s="11">
        <v>25124</v>
      </c>
      <c r="E41" s="12"/>
      <c r="F41" s="13"/>
    </row>
    <row r="42" spans="2:6" ht="41.25">
      <c r="B42" s="37"/>
      <c r="C42" s="10" t="s">
        <v>46</v>
      </c>
      <c r="D42" s="11">
        <v>20270</v>
      </c>
      <c r="E42" s="12"/>
      <c r="F42" s="13"/>
    </row>
    <row r="43" spans="2:6" ht="41.25">
      <c r="B43" s="37"/>
      <c r="C43" s="10" t="s">
        <v>47</v>
      </c>
      <c r="D43" s="11">
        <v>25144</v>
      </c>
      <c r="E43" s="12"/>
      <c r="F43" s="13"/>
    </row>
    <row r="44" spans="2:6" ht="20.25">
      <c r="B44" s="37"/>
      <c r="C44" s="10" t="s">
        <v>48</v>
      </c>
      <c r="D44" s="11">
        <v>25120</v>
      </c>
      <c r="E44" s="12"/>
      <c r="F44" s="13"/>
    </row>
    <row r="45" spans="2:6" ht="41.25">
      <c r="B45" s="37"/>
      <c r="C45" s="10" t="s">
        <v>49</v>
      </c>
      <c r="D45" s="11">
        <v>20220</v>
      </c>
      <c r="E45" s="12"/>
      <c r="F45" s="13"/>
    </row>
    <row r="46" spans="2:6" ht="20.25">
      <c r="B46" s="37"/>
      <c r="C46" s="10" t="s">
        <v>50</v>
      </c>
      <c r="D46" s="11">
        <v>25125</v>
      </c>
      <c r="E46" s="12"/>
      <c r="F46" s="13"/>
    </row>
    <row r="47" spans="2:6" ht="20.25">
      <c r="B47" s="37"/>
      <c r="C47" s="10" t="s">
        <v>51</v>
      </c>
      <c r="D47" s="11">
        <v>25145</v>
      </c>
      <c r="E47" s="12"/>
      <c r="F47" s="13"/>
    </row>
    <row r="48" spans="2:6" ht="20.25">
      <c r="B48" s="37"/>
      <c r="C48" s="10" t="s">
        <v>52</v>
      </c>
      <c r="D48" s="11">
        <v>20250</v>
      </c>
      <c r="E48" s="12"/>
      <c r="F48" s="13"/>
    </row>
    <row r="49" spans="2:6" ht="41.25">
      <c r="B49" s="37"/>
      <c r="C49" s="10" t="s">
        <v>53</v>
      </c>
      <c r="D49" s="11">
        <v>25964</v>
      </c>
      <c r="E49" s="12"/>
      <c r="F49" s="13"/>
    </row>
    <row r="50" spans="2:6" ht="41.25">
      <c r="B50" s="37"/>
      <c r="C50" s="10" t="s">
        <v>54</v>
      </c>
      <c r="D50" s="11">
        <v>25965</v>
      </c>
      <c r="E50" s="12"/>
      <c r="F50" s="13"/>
    </row>
    <row r="51" spans="2:6" ht="41.25">
      <c r="B51" s="37"/>
      <c r="C51" s="14" t="s">
        <v>55</v>
      </c>
      <c r="D51" s="15">
        <v>20651</v>
      </c>
      <c r="E51" s="12"/>
      <c r="F51" s="13"/>
    </row>
    <row r="52" spans="2:6" ht="41.25">
      <c r="B52" s="37"/>
      <c r="C52" s="14" t="s">
        <v>56</v>
      </c>
      <c r="D52" s="15">
        <v>20661</v>
      </c>
      <c r="E52" s="12"/>
      <c r="F52" s="13"/>
    </row>
    <row r="53" spans="2:6" ht="20.25">
      <c r="B53" s="37"/>
      <c r="C53" s="14" t="s">
        <v>57</v>
      </c>
      <c r="D53" s="15">
        <v>25974</v>
      </c>
      <c r="E53" s="12"/>
      <c r="F53" s="13"/>
    </row>
    <row r="54" spans="2:6" ht="20.25">
      <c r="B54" s="37"/>
      <c r="C54" s="14" t="s">
        <v>58</v>
      </c>
      <c r="D54" s="15">
        <v>25975</v>
      </c>
      <c r="E54" s="12"/>
      <c r="F54" s="13"/>
    </row>
    <row r="55" spans="2:6" ht="20.25">
      <c r="B55" s="38"/>
      <c r="C55" s="16" t="s">
        <v>59</v>
      </c>
      <c r="D55" s="17">
        <v>25222</v>
      </c>
      <c r="E55" s="18"/>
      <c r="F55" s="19"/>
    </row>
    <row r="56" spans="2:6" ht="20.25">
      <c r="B56" s="36" t="s">
        <v>60</v>
      </c>
      <c r="C56" s="20" t="s">
        <v>61</v>
      </c>
      <c r="D56" s="21">
        <v>25421</v>
      </c>
      <c r="E56" s="22"/>
      <c r="F56" s="23"/>
    </row>
    <row r="57" spans="2:6" ht="20.25">
      <c r="B57" s="37"/>
      <c r="C57" s="10" t="s">
        <v>62</v>
      </c>
      <c r="D57" s="11">
        <v>25420</v>
      </c>
      <c r="E57" s="12"/>
      <c r="F57" s="13"/>
    </row>
    <row r="58" spans="2:6" ht="20.25">
      <c r="B58" s="37"/>
      <c r="C58" s="10" t="s">
        <v>63</v>
      </c>
      <c r="D58" s="11">
        <v>25422</v>
      </c>
      <c r="E58" s="12"/>
      <c r="F58" s="13"/>
    </row>
    <row r="59" spans="2:6" ht="20.25">
      <c r="B59" s="37"/>
      <c r="C59" s="10" t="s">
        <v>64</v>
      </c>
      <c r="D59" s="11">
        <v>23221</v>
      </c>
      <c r="E59" s="12"/>
      <c r="F59" s="13"/>
    </row>
    <row r="60" spans="2:6" ht="20.25">
      <c r="B60" s="37"/>
      <c r="C60" s="10" t="s">
        <v>65</v>
      </c>
      <c r="D60" s="11">
        <v>21030</v>
      </c>
      <c r="E60" s="12"/>
      <c r="F60" s="13"/>
    </row>
    <row r="61" spans="2:6" ht="20.25">
      <c r="B61" s="37"/>
      <c r="C61" s="10" t="s">
        <v>66</v>
      </c>
      <c r="D61" s="11">
        <v>25441</v>
      </c>
      <c r="E61" s="12"/>
      <c r="F61" s="13"/>
    </row>
    <row r="62" spans="2:6" ht="20.25">
      <c r="B62" s="37"/>
      <c r="C62" s="10" t="s">
        <v>67</v>
      </c>
      <c r="D62" s="11">
        <v>25443</v>
      </c>
      <c r="E62" s="12"/>
      <c r="F62" s="13"/>
    </row>
    <row r="63" spans="2:6" ht="20.25">
      <c r="B63" s="37"/>
      <c r="C63" s="10" t="s">
        <v>68</v>
      </c>
      <c r="D63" s="11">
        <v>25521</v>
      </c>
      <c r="E63" s="12"/>
      <c r="F63" s="13"/>
    </row>
    <row r="64" spans="2:6" ht="20.25">
      <c r="B64" s="37"/>
      <c r="C64" s="10" t="s">
        <v>69</v>
      </c>
      <c r="D64" s="11">
        <v>25522</v>
      </c>
      <c r="E64" s="12"/>
      <c r="F64" s="13"/>
    </row>
    <row r="65" spans="2:6" ht="20.25">
      <c r="B65" s="37"/>
      <c r="C65" s="10" t="s">
        <v>70</v>
      </c>
      <c r="D65" s="11">
        <v>25221</v>
      </c>
      <c r="E65" s="12"/>
      <c r="F65" s="13"/>
    </row>
    <row r="66" spans="2:6" ht="20.25">
      <c r="B66" s="37"/>
      <c r="C66" s="10" t="s">
        <v>71</v>
      </c>
      <c r="D66" s="11">
        <v>25952</v>
      </c>
      <c r="E66" s="12"/>
      <c r="F66" s="13"/>
    </row>
    <row r="67" spans="2:6" ht="20.25">
      <c r="B67" s="37"/>
      <c r="C67" s="10" t="s">
        <v>72</v>
      </c>
      <c r="D67" s="11">
        <v>22020</v>
      </c>
      <c r="E67" s="12"/>
      <c r="F67" s="13"/>
    </row>
    <row r="68" spans="2:6" ht="20.25">
      <c r="B68" s="37"/>
      <c r="C68" s="10" t="s">
        <v>73</v>
      </c>
      <c r="D68" s="11">
        <v>22022</v>
      </c>
      <c r="E68" s="12"/>
      <c r="F68" s="13"/>
    </row>
    <row r="69" spans="2:6" ht="20.25">
      <c r="B69" s="37"/>
      <c r="C69" s="10" t="s">
        <v>74</v>
      </c>
      <c r="D69" s="11">
        <v>25541</v>
      </c>
      <c r="E69" s="12"/>
      <c r="F69" s="13"/>
    </row>
    <row r="70" spans="2:6" ht="20.25">
      <c r="B70" s="37"/>
      <c r="C70" s="10" t="s">
        <v>75</v>
      </c>
      <c r="D70" s="11">
        <v>25543</v>
      </c>
      <c r="E70" s="12"/>
      <c r="F70" s="13"/>
    </row>
    <row r="71" spans="2:6" ht="20.25">
      <c r="B71" s="37"/>
      <c r="C71" s="10" t="s">
        <v>76</v>
      </c>
      <c r="D71" s="11">
        <v>22021</v>
      </c>
      <c r="E71" s="12"/>
      <c r="F71" s="13"/>
    </row>
    <row r="72" spans="2:6" ht="41.25">
      <c r="B72" s="37"/>
      <c r="C72" s="10" t="s">
        <v>77</v>
      </c>
      <c r="D72" s="11">
        <v>25966</v>
      </c>
      <c r="E72" s="12"/>
      <c r="F72" s="13"/>
    </row>
    <row r="73" spans="2:6" ht="41.25">
      <c r="B73" s="37"/>
      <c r="C73" s="10" t="s">
        <v>78</v>
      </c>
      <c r="D73" s="11">
        <v>25967</v>
      </c>
      <c r="E73" s="12"/>
      <c r="F73" s="13"/>
    </row>
    <row r="74" spans="2:6" ht="20.25">
      <c r="B74" s="37"/>
      <c r="C74" s="10" t="s">
        <v>79</v>
      </c>
      <c r="D74" s="11">
        <v>22412</v>
      </c>
      <c r="E74" s="12"/>
      <c r="F74" s="13"/>
    </row>
    <row r="75" spans="2:6" ht="20.25">
      <c r="B75" s="37"/>
      <c r="C75" s="10" t="s">
        <v>80</v>
      </c>
      <c r="D75" s="11">
        <v>25231</v>
      </c>
      <c r="E75" s="12"/>
      <c r="F75" s="13"/>
    </row>
    <row r="76" spans="2:6" ht="20.25">
      <c r="B76" s="37"/>
      <c r="C76" s="10" t="s">
        <v>81</v>
      </c>
      <c r="D76" s="11">
        <v>20161</v>
      </c>
      <c r="E76" s="12"/>
      <c r="F76" s="13"/>
    </row>
    <row r="77" spans="2:6" ht="20.25">
      <c r="B77" s="37"/>
      <c r="C77" s="10" t="s">
        <v>82</v>
      </c>
      <c r="D77" s="11">
        <v>20660</v>
      </c>
      <c r="E77" s="12"/>
      <c r="F77" s="13"/>
    </row>
    <row r="78" spans="2:6" ht="20.25">
      <c r="B78" s="37"/>
      <c r="C78" s="10" t="s">
        <v>83</v>
      </c>
      <c r="D78" s="11">
        <v>20004</v>
      </c>
      <c r="E78" s="12"/>
      <c r="F78" s="13"/>
    </row>
    <row r="79" spans="2:6" ht="20.25">
      <c r="B79" s="37"/>
      <c r="C79" s="10" t="s">
        <v>84</v>
      </c>
      <c r="D79" s="11">
        <v>20061</v>
      </c>
      <c r="E79" s="12"/>
      <c r="F79" s="13"/>
    </row>
    <row r="80" spans="2:6" ht="20.25">
      <c r="B80" s="37"/>
      <c r="C80" s="10" t="s">
        <v>85</v>
      </c>
      <c r="D80" s="11">
        <v>25935</v>
      </c>
      <c r="E80" s="12"/>
      <c r="F80" s="13"/>
    </row>
    <row r="81" spans="2:6" ht="20.25">
      <c r="B81" s="37"/>
      <c r="C81" s="14" t="s">
        <v>86</v>
      </c>
      <c r="D81" s="15">
        <v>25695</v>
      </c>
      <c r="E81" s="12"/>
      <c r="F81" s="13"/>
    </row>
    <row r="82" spans="2:6" ht="20.25">
      <c r="B82" s="37"/>
      <c r="C82" s="14" t="s">
        <v>87</v>
      </c>
      <c r="D82" s="15">
        <v>25355</v>
      </c>
      <c r="E82" s="12"/>
      <c r="F82" s="13"/>
    </row>
    <row r="83" spans="2:6" ht="20.25">
      <c r="B83" s="38"/>
      <c r="C83" s="16" t="s">
        <v>88</v>
      </c>
      <c r="D83" s="17">
        <v>25335</v>
      </c>
      <c r="E83" s="18"/>
      <c r="F83" s="19"/>
    </row>
    <row r="84" spans="2:6" ht="20.25">
      <c r="B84" s="36" t="s">
        <v>89</v>
      </c>
      <c r="C84" s="20" t="s">
        <v>90</v>
      </c>
      <c r="D84" s="21">
        <v>25620</v>
      </c>
      <c r="E84" s="22"/>
      <c r="F84" s="23"/>
    </row>
    <row r="85" spans="2:6" ht="20.25">
      <c r="B85" s="37"/>
      <c r="C85" s="10" t="s">
        <v>91</v>
      </c>
      <c r="D85" s="11">
        <v>23332</v>
      </c>
      <c r="E85" s="12"/>
      <c r="F85" s="13"/>
    </row>
    <row r="86" spans="2:6" ht="20.25">
      <c r="B86" s="37"/>
      <c r="C86" s="10" t="s">
        <v>92</v>
      </c>
      <c r="D86" s="11">
        <v>25641</v>
      </c>
      <c r="E86" s="12"/>
      <c r="F86" s="13"/>
    </row>
    <row r="87" spans="2:6" ht="20.25">
      <c r="B87" s="37"/>
      <c r="C87" s="10" t="s">
        <v>93</v>
      </c>
      <c r="D87" s="11">
        <v>25728</v>
      </c>
      <c r="E87" s="12"/>
      <c r="F87" s="13"/>
    </row>
    <row r="88" spans="2:6" ht="20.25">
      <c r="B88" s="37"/>
      <c r="C88" s="10" t="s">
        <v>94</v>
      </c>
      <c r="D88" s="11">
        <v>25721</v>
      </c>
      <c r="E88" s="12"/>
      <c r="F88" s="13"/>
    </row>
    <row r="89" spans="2:6" ht="20.25">
      <c r="B89" s="37"/>
      <c r="C89" s="10" t="s">
        <v>95</v>
      </c>
      <c r="D89" s="11">
        <v>25720</v>
      </c>
      <c r="E89" s="12"/>
      <c r="F89" s="13"/>
    </row>
    <row r="90" spans="2:6" ht="20.25">
      <c r="B90" s="37"/>
      <c r="C90" s="10" t="s">
        <v>96</v>
      </c>
      <c r="D90" s="11">
        <v>23223</v>
      </c>
      <c r="E90" s="12"/>
      <c r="F90" s="13"/>
    </row>
    <row r="91" spans="2:6" ht="20.25">
      <c r="B91" s="37"/>
      <c r="C91" s="10" t="s">
        <v>97</v>
      </c>
      <c r="D91" s="11">
        <v>25746</v>
      </c>
      <c r="E91" s="12"/>
      <c r="F91" s="13"/>
    </row>
    <row r="92" spans="2:6" ht="20.25">
      <c r="B92" s="37"/>
      <c r="C92" s="10" t="s">
        <v>98</v>
      </c>
      <c r="D92" s="11">
        <v>22211</v>
      </c>
      <c r="E92" s="12"/>
      <c r="F92" s="13"/>
    </row>
    <row r="93" spans="2:6" ht="20.25">
      <c r="B93" s="37"/>
      <c r="C93" s="10" t="s">
        <v>99</v>
      </c>
      <c r="D93" s="11">
        <v>22230</v>
      </c>
      <c r="E93" s="12"/>
      <c r="F93" s="13"/>
    </row>
    <row r="94" spans="2:6" ht="20.25">
      <c r="B94" s="37"/>
      <c r="C94" s="10" t="s">
        <v>100</v>
      </c>
      <c r="D94" s="11">
        <v>22250</v>
      </c>
      <c r="E94" s="12"/>
      <c r="F94" s="13"/>
    </row>
    <row r="95" spans="2:6" ht="20.25">
      <c r="B95" s="37"/>
      <c r="C95" s="10" t="s">
        <v>101</v>
      </c>
      <c r="D95" s="11">
        <v>25969</v>
      </c>
      <c r="E95" s="12"/>
      <c r="F95" s="13"/>
    </row>
    <row r="96" spans="2:6" ht="20.25">
      <c r="B96" s="37"/>
      <c r="C96" s="10" t="s">
        <v>102</v>
      </c>
      <c r="D96" s="11">
        <v>25050</v>
      </c>
      <c r="E96" s="12"/>
      <c r="F96" s="13"/>
    </row>
    <row r="97" spans="2:6" ht="20.25">
      <c r="B97" s="37"/>
      <c r="C97" s="10" t="s">
        <v>103</v>
      </c>
      <c r="D97" s="11">
        <v>25031</v>
      </c>
      <c r="E97" s="12"/>
      <c r="F97" s="13"/>
    </row>
    <row r="98" spans="2:6" ht="20.25">
      <c r="B98" s="37"/>
      <c r="C98" s="10" t="s">
        <v>104</v>
      </c>
      <c r="D98" s="11">
        <v>25051</v>
      </c>
      <c r="E98" s="12"/>
      <c r="F98" s="13"/>
    </row>
    <row r="99" spans="2:6" ht="20.25">
      <c r="B99" s="37"/>
      <c r="C99" s="10" t="s">
        <v>105</v>
      </c>
      <c r="D99" s="11">
        <v>25820</v>
      </c>
      <c r="E99" s="12"/>
      <c r="F99" s="13"/>
    </row>
    <row r="100" spans="2:6" ht="20.25">
      <c r="B100" s="37"/>
      <c r="C100" s="14" t="s">
        <v>106</v>
      </c>
      <c r="D100" s="15">
        <v>25920</v>
      </c>
      <c r="E100" s="12"/>
      <c r="F100" s="13"/>
    </row>
    <row r="101" spans="2:6" ht="20.25">
      <c r="B101" s="38"/>
      <c r="C101" s="14" t="s">
        <v>107</v>
      </c>
      <c r="D101" s="15">
        <v>21330</v>
      </c>
      <c r="E101" s="24"/>
      <c r="F101" s="25"/>
    </row>
    <row r="102" spans="2:6" ht="20.25">
      <c r="B102" s="36" t="s">
        <v>108</v>
      </c>
      <c r="C102" s="6" t="s">
        <v>109</v>
      </c>
      <c r="D102" s="7">
        <v>25431</v>
      </c>
      <c r="E102" s="8"/>
      <c r="F102" s="9"/>
    </row>
    <row r="103" spans="2:6" ht="20.25">
      <c r="B103" s="37"/>
      <c r="C103" s="10" t="s">
        <v>110</v>
      </c>
      <c r="D103" s="11">
        <v>23031</v>
      </c>
      <c r="E103" s="12"/>
      <c r="F103" s="13"/>
    </row>
    <row r="104" spans="2:6" ht="20.25">
      <c r="B104" s="37"/>
      <c r="C104" s="10" t="s">
        <v>111</v>
      </c>
      <c r="D104" s="11">
        <v>25531</v>
      </c>
      <c r="E104" s="12"/>
      <c r="F104" s="13"/>
    </row>
    <row r="105" spans="2:6" ht="20.25">
      <c r="B105" s="37"/>
      <c r="C105" s="10" t="s">
        <v>112</v>
      </c>
      <c r="D105" s="11">
        <v>25631</v>
      </c>
      <c r="E105" s="12"/>
      <c r="F105" s="13"/>
    </row>
    <row r="106" spans="2:6" ht="20.25">
      <c r="B106" s="37"/>
      <c r="C106" s="10" t="s">
        <v>113</v>
      </c>
      <c r="D106" s="11">
        <v>25634</v>
      </c>
      <c r="E106" s="12"/>
      <c r="F106" s="13"/>
    </row>
    <row r="107" spans="2:6" ht="20.25">
      <c r="B107" s="37"/>
      <c r="C107" s="10" t="s">
        <v>114</v>
      </c>
      <c r="D107" s="11">
        <v>23065</v>
      </c>
      <c r="E107" s="12"/>
      <c r="F107" s="13"/>
    </row>
    <row r="108" spans="2:6" ht="20.25">
      <c r="B108" s="37"/>
      <c r="C108" s="10" t="s">
        <v>115</v>
      </c>
      <c r="D108" s="11">
        <v>25731</v>
      </c>
      <c r="E108" s="12"/>
      <c r="F108" s="13"/>
    </row>
    <row r="109" spans="2:6" ht="20.25">
      <c r="B109" s="37"/>
      <c r="C109" s="10" t="s">
        <v>116</v>
      </c>
      <c r="D109" s="11">
        <v>23069</v>
      </c>
      <c r="E109" s="12"/>
      <c r="F109" s="13"/>
    </row>
    <row r="110" spans="2:6" ht="20.25">
      <c r="B110" s="37"/>
      <c r="C110" s="10" t="s">
        <v>117</v>
      </c>
      <c r="D110" s="11">
        <v>25732</v>
      </c>
      <c r="E110" s="12"/>
      <c r="F110" s="13"/>
    </row>
    <row r="111" spans="2:6" ht="20.25">
      <c r="B111" s="37"/>
      <c r="C111" s="10" t="s">
        <v>118</v>
      </c>
      <c r="D111" s="11">
        <v>23054</v>
      </c>
      <c r="E111" s="12"/>
      <c r="F111" s="13"/>
    </row>
    <row r="112" spans="2:6" ht="20.25">
      <c r="B112" s="37"/>
      <c r="C112" s="10" t="s">
        <v>119</v>
      </c>
      <c r="D112" s="11">
        <v>23079</v>
      </c>
      <c r="E112" s="12"/>
      <c r="F112" s="13"/>
    </row>
    <row r="113" spans="2:6" ht="20.25">
      <c r="B113" s="38"/>
      <c r="C113" s="16" t="s">
        <v>120</v>
      </c>
      <c r="D113" s="17">
        <v>23114</v>
      </c>
      <c r="E113" s="18"/>
      <c r="F113" s="19"/>
    </row>
    <row r="114" spans="2:6" ht="20.25">
      <c r="B114" s="44" t="s">
        <v>121</v>
      </c>
      <c r="C114" s="26" t="s">
        <v>122</v>
      </c>
      <c r="D114" s="21">
        <v>23220</v>
      </c>
      <c r="E114" s="22"/>
      <c r="F114" s="23"/>
    </row>
    <row r="115" spans="2:6" ht="20.25">
      <c r="B115" s="45"/>
      <c r="C115" s="27" t="s">
        <v>123</v>
      </c>
      <c r="D115" s="11">
        <v>23224</v>
      </c>
      <c r="E115" s="12"/>
      <c r="F115" s="13"/>
    </row>
    <row r="116" spans="2:6" ht="20.25">
      <c r="B116" s="45"/>
      <c r="C116" s="27" t="s">
        <v>124</v>
      </c>
      <c r="D116" s="11">
        <v>20130</v>
      </c>
      <c r="E116" s="12"/>
      <c r="F116" s="13"/>
    </row>
    <row r="117" spans="2:6" ht="20.25">
      <c r="B117" s="45"/>
      <c r="C117" s="27" t="s">
        <v>125</v>
      </c>
      <c r="D117" s="11">
        <v>29450</v>
      </c>
      <c r="E117" s="12"/>
      <c r="F117" s="13"/>
    </row>
    <row r="118" spans="2:6" ht="20.25">
      <c r="B118" s="45"/>
      <c r="C118" s="27" t="s">
        <v>126</v>
      </c>
      <c r="D118" s="11">
        <v>23433</v>
      </c>
      <c r="E118" s="12"/>
      <c r="F118" s="13"/>
    </row>
    <row r="119" spans="2:6" ht="20.25">
      <c r="B119" s="45"/>
      <c r="C119" s="27" t="s">
        <v>127</v>
      </c>
      <c r="D119" s="11">
        <v>20006</v>
      </c>
      <c r="E119" s="12"/>
      <c r="F119" s="13"/>
    </row>
    <row r="120" spans="2:6" ht="20.25">
      <c r="B120" s="45"/>
      <c r="C120" s="27" t="s">
        <v>128</v>
      </c>
      <c r="D120" s="11">
        <v>26302</v>
      </c>
      <c r="E120" s="12"/>
      <c r="F120" s="13"/>
    </row>
    <row r="121" spans="2:6" ht="20.25">
      <c r="B121" s="45"/>
      <c r="C121" s="27" t="s">
        <v>129</v>
      </c>
      <c r="D121" s="11">
        <v>29443</v>
      </c>
      <c r="E121" s="12"/>
      <c r="F121" s="13"/>
    </row>
    <row r="122" spans="2:6" ht="20.25">
      <c r="B122" s="45"/>
      <c r="C122" s="27" t="s">
        <v>130</v>
      </c>
      <c r="D122" s="11">
        <v>23130</v>
      </c>
      <c r="E122" s="12"/>
      <c r="F122" s="13"/>
    </row>
    <row r="123" spans="2:6" ht="20.25">
      <c r="B123" s="45"/>
      <c r="C123" s="27" t="s">
        <v>131</v>
      </c>
      <c r="D123" s="11">
        <v>22306</v>
      </c>
      <c r="E123" s="12"/>
      <c r="F123" s="13"/>
    </row>
    <row r="124" spans="2:6" ht="20.25">
      <c r="B124" s="45"/>
      <c r="C124" s="27" t="s">
        <v>132</v>
      </c>
      <c r="D124" s="11">
        <v>41120</v>
      </c>
      <c r="E124" s="12"/>
      <c r="F124" s="13"/>
    </row>
    <row r="125" spans="2:6" ht="20.25">
      <c r="B125" s="45"/>
      <c r="C125" s="27" t="s">
        <v>133</v>
      </c>
      <c r="D125" s="11">
        <v>41130</v>
      </c>
      <c r="E125" s="12"/>
      <c r="F125" s="13"/>
    </row>
    <row r="126" spans="2:6" ht="20.25">
      <c r="B126" s="45"/>
      <c r="C126" s="27" t="s">
        <v>134</v>
      </c>
      <c r="D126" s="11">
        <v>41140</v>
      </c>
      <c r="E126" s="12"/>
      <c r="F126" s="13"/>
    </row>
    <row r="127" spans="2:6" ht="20.25">
      <c r="B127" s="45"/>
      <c r="C127" s="27" t="s">
        <v>135</v>
      </c>
      <c r="D127" s="11">
        <v>23321</v>
      </c>
      <c r="E127" s="12"/>
      <c r="F127" s="13"/>
    </row>
    <row r="128" spans="2:6" ht="20.25">
      <c r="B128" s="45"/>
      <c r="C128" s="27" t="s">
        <v>136</v>
      </c>
      <c r="D128" s="11">
        <v>23322</v>
      </c>
      <c r="E128" s="12"/>
      <c r="F128" s="13"/>
    </row>
    <row r="129" spans="2:6" ht="20.25">
      <c r="B129" s="45"/>
      <c r="C129" s="27" t="s">
        <v>137</v>
      </c>
      <c r="D129" s="11">
        <v>25140</v>
      </c>
      <c r="E129" s="12"/>
      <c r="F129" s="13"/>
    </row>
    <row r="130" spans="2:6" ht="20.25">
      <c r="B130" s="45"/>
      <c r="C130" s="27" t="s">
        <v>138</v>
      </c>
      <c r="D130" s="11">
        <v>25251</v>
      </c>
      <c r="E130" s="12"/>
      <c r="F130" s="13"/>
    </row>
    <row r="131" spans="2:6" ht="20.25">
      <c r="B131" s="45"/>
      <c r="C131" s="27" t="s">
        <v>139</v>
      </c>
      <c r="D131" s="11">
        <v>20316</v>
      </c>
      <c r="E131" s="12"/>
      <c r="F131" s="13"/>
    </row>
    <row r="132" spans="2:6" ht="41.25">
      <c r="B132" s="45"/>
      <c r="C132" s="27" t="s">
        <v>140</v>
      </c>
      <c r="D132" s="11">
        <v>25934</v>
      </c>
      <c r="E132" s="12"/>
      <c r="F132" s="13"/>
    </row>
    <row r="133" spans="2:6" ht="20.25">
      <c r="B133" s="45"/>
      <c r="C133" s="27" t="s">
        <v>141</v>
      </c>
      <c r="D133" s="11">
        <v>23017</v>
      </c>
      <c r="E133" s="12"/>
      <c r="F133" s="13"/>
    </row>
    <row r="134" spans="2:6" ht="20.25">
      <c r="B134" s="45"/>
      <c r="C134" s="27" t="s">
        <v>142</v>
      </c>
      <c r="D134" s="11">
        <v>25018</v>
      </c>
      <c r="E134" s="12"/>
      <c r="F134" s="13"/>
    </row>
    <row r="135" spans="2:6" ht="20.25">
      <c r="B135" s="45"/>
      <c r="C135" s="27" t="s">
        <v>143</v>
      </c>
      <c r="D135" s="11">
        <v>23016</v>
      </c>
      <c r="E135" s="12"/>
      <c r="F135" s="13"/>
    </row>
    <row r="136" spans="2:6" ht="20.25">
      <c r="B136" s="45"/>
      <c r="C136" s="27" t="s">
        <v>144</v>
      </c>
      <c r="D136" s="11">
        <v>23015</v>
      </c>
      <c r="E136" s="12"/>
      <c r="F136" s="13"/>
    </row>
    <row r="137" spans="2:6" ht="20.25">
      <c r="B137" s="45"/>
      <c r="C137" s="27" t="s">
        <v>145</v>
      </c>
      <c r="D137" s="11">
        <v>25931</v>
      </c>
      <c r="E137" s="12"/>
      <c r="F137" s="13"/>
    </row>
    <row r="138" spans="2:6" ht="20.25">
      <c r="B138" s="45"/>
      <c r="C138" s="27" t="s">
        <v>146</v>
      </c>
      <c r="D138" s="11">
        <v>23018</v>
      </c>
      <c r="E138" s="12"/>
      <c r="F138" s="13"/>
    </row>
    <row r="139" spans="2:6" ht="20.25">
      <c r="B139" s="45"/>
      <c r="C139" s="27" t="s">
        <v>147</v>
      </c>
      <c r="D139" s="11">
        <v>25932</v>
      </c>
      <c r="E139" s="12"/>
      <c r="F139" s="13"/>
    </row>
    <row r="140" spans="2:6" ht="20.25">
      <c r="B140" s="45"/>
      <c r="C140" s="27" t="s">
        <v>148</v>
      </c>
      <c r="D140" s="11">
        <v>23012</v>
      </c>
      <c r="E140" s="12"/>
      <c r="F140" s="13"/>
    </row>
    <row r="141" spans="2:6" ht="20.25">
      <c r="B141" s="45"/>
      <c r="C141" s="27" t="s">
        <v>149</v>
      </c>
      <c r="D141" s="11">
        <v>25635</v>
      </c>
      <c r="E141" s="12"/>
      <c r="F141" s="13"/>
    </row>
    <row r="142" spans="2:6" ht="20.25">
      <c r="B142" s="45"/>
      <c r="C142" s="27" t="s">
        <v>150</v>
      </c>
      <c r="D142" s="11">
        <v>25655</v>
      </c>
      <c r="E142" s="12"/>
      <c r="F142" s="13"/>
    </row>
    <row r="143" spans="2:6" ht="20.25">
      <c r="B143" s="45"/>
      <c r="C143" s="27" t="s">
        <v>151</v>
      </c>
      <c r="D143" s="11">
        <v>29162</v>
      </c>
      <c r="E143" s="12"/>
      <c r="F143" s="13"/>
    </row>
    <row r="144" spans="2:6" ht="20.25">
      <c r="B144" s="45"/>
      <c r="C144" s="27" t="s">
        <v>152</v>
      </c>
      <c r="D144" s="11">
        <v>29200</v>
      </c>
      <c r="E144" s="12"/>
      <c r="F144" s="13"/>
    </row>
    <row r="145" spans="2:6" ht="20.25">
      <c r="B145" s="45"/>
      <c r="C145" s="27" t="s">
        <v>153</v>
      </c>
      <c r="D145" s="11">
        <v>23086</v>
      </c>
      <c r="E145" s="12"/>
      <c r="F145" s="13"/>
    </row>
    <row r="146" spans="2:6" ht="20.25">
      <c r="B146" s="45"/>
      <c r="C146" s="27" t="s">
        <v>154</v>
      </c>
      <c r="D146" s="11">
        <v>25131</v>
      </c>
      <c r="E146" s="12"/>
      <c r="F146" s="13"/>
    </row>
    <row r="147" spans="2:6" ht="20.25">
      <c r="B147" s="45"/>
      <c r="C147" s="27" t="s">
        <v>155</v>
      </c>
      <c r="D147" s="11">
        <v>23084</v>
      </c>
      <c r="E147" s="12"/>
      <c r="F147" s="13"/>
    </row>
    <row r="148" spans="2:6" ht="20.25">
      <c r="B148" s="45"/>
      <c r="C148" s="27" t="s">
        <v>156</v>
      </c>
      <c r="D148" s="11">
        <v>25351</v>
      </c>
      <c r="E148" s="12"/>
      <c r="F148" s="13"/>
    </row>
    <row r="149" spans="2:6" ht="20.25">
      <c r="B149" s="45"/>
      <c r="C149" s="27" t="s">
        <v>157</v>
      </c>
      <c r="D149" s="11">
        <v>29010</v>
      </c>
      <c r="E149" s="12"/>
      <c r="F149" s="13"/>
    </row>
    <row r="150" spans="2:6" ht="20.25">
      <c r="B150" s="45"/>
      <c r="C150" s="27" t="s">
        <v>158</v>
      </c>
      <c r="D150" s="11">
        <v>29016</v>
      </c>
      <c r="E150" s="12"/>
      <c r="F150" s="13"/>
    </row>
    <row r="151" spans="2:6" ht="20.25">
      <c r="B151" s="45"/>
      <c r="C151" s="27" t="s">
        <v>159</v>
      </c>
      <c r="D151" s="11">
        <v>29011</v>
      </c>
      <c r="E151" s="12"/>
      <c r="F151" s="13"/>
    </row>
    <row r="152" spans="2:6" ht="20.25">
      <c r="B152" s="45"/>
      <c r="C152" s="27" t="s">
        <v>160</v>
      </c>
      <c r="D152" s="11">
        <v>21120</v>
      </c>
      <c r="E152" s="12"/>
      <c r="F152" s="13"/>
    </row>
    <row r="153" spans="2:6" ht="41.25">
      <c r="B153" s="45"/>
      <c r="C153" s="27" t="s">
        <v>161</v>
      </c>
      <c r="D153" s="11">
        <v>23615</v>
      </c>
      <c r="E153" s="12"/>
      <c r="F153" s="13"/>
    </row>
    <row r="154" spans="2:6" ht="41.25">
      <c r="B154" s="45"/>
      <c r="C154" s="27" t="s">
        <v>162</v>
      </c>
      <c r="D154" s="11">
        <v>22207</v>
      </c>
      <c r="E154" s="12"/>
      <c r="F154" s="13"/>
    </row>
    <row r="155" spans="2:6" ht="41.25">
      <c r="B155" s="45"/>
      <c r="C155" s="27" t="s">
        <v>163</v>
      </c>
      <c r="D155" s="11">
        <v>20260</v>
      </c>
      <c r="E155" s="12"/>
      <c r="F155" s="13"/>
    </row>
    <row r="156" spans="2:6" ht="41.25">
      <c r="B156" s="45"/>
      <c r="C156" s="27" t="s">
        <v>164</v>
      </c>
      <c r="D156" s="11">
        <v>22220</v>
      </c>
      <c r="E156" s="12"/>
      <c r="F156" s="13"/>
    </row>
    <row r="157" spans="2:6" ht="41.25">
      <c r="B157" s="45"/>
      <c r="C157" s="27" t="s">
        <v>165</v>
      </c>
      <c r="D157" s="11">
        <v>23711</v>
      </c>
      <c r="E157" s="12"/>
      <c r="F157" s="13"/>
    </row>
    <row r="158" spans="2:6" ht="41.25">
      <c r="B158" s="45"/>
      <c r="C158" s="27" t="s">
        <v>166</v>
      </c>
      <c r="D158" s="11">
        <v>22142</v>
      </c>
      <c r="E158" s="12"/>
      <c r="F158" s="13"/>
    </row>
    <row r="159" spans="2:6" ht="41.25">
      <c r="B159" s="45"/>
      <c r="C159" s="27" t="s">
        <v>167</v>
      </c>
      <c r="D159" s="11">
        <v>20240</v>
      </c>
      <c r="E159" s="12"/>
      <c r="F159" s="13"/>
    </row>
    <row r="160" spans="2:6" ht="41.25">
      <c r="B160" s="45"/>
      <c r="C160" s="27" t="s">
        <v>168</v>
      </c>
      <c r="D160" s="11">
        <v>22130</v>
      </c>
      <c r="E160" s="12"/>
      <c r="F160" s="13"/>
    </row>
    <row r="161" spans="2:6" ht="41.25">
      <c r="B161" s="45"/>
      <c r="C161" s="27" t="s">
        <v>169</v>
      </c>
      <c r="D161" s="11">
        <v>23151</v>
      </c>
      <c r="E161" s="12"/>
      <c r="F161" s="13"/>
    </row>
    <row r="162" spans="2:6" ht="41.25">
      <c r="B162" s="45"/>
      <c r="C162" s="27" t="s">
        <v>170</v>
      </c>
      <c r="D162" s="11">
        <v>23420</v>
      </c>
      <c r="E162" s="12"/>
      <c r="F162" s="13"/>
    </row>
    <row r="163" spans="2:6" ht="41.25">
      <c r="B163" s="45"/>
      <c r="C163" s="27" t="s">
        <v>171</v>
      </c>
      <c r="D163" s="11">
        <v>25990</v>
      </c>
      <c r="E163" s="12"/>
      <c r="F163" s="13"/>
    </row>
    <row r="164" spans="2:6" ht="41.25">
      <c r="B164" s="45"/>
      <c r="C164" s="27" t="s">
        <v>172</v>
      </c>
      <c r="D164" s="11">
        <v>21021</v>
      </c>
      <c r="E164" s="12"/>
      <c r="F164" s="13"/>
    </row>
    <row r="165" spans="2:6" ht="41.25">
      <c r="B165" s="45"/>
      <c r="C165" s="27" t="s">
        <v>173</v>
      </c>
      <c r="D165" s="11">
        <v>20710</v>
      </c>
      <c r="E165" s="12"/>
      <c r="F165" s="13"/>
    </row>
    <row r="166" spans="2:6" ht="20.25">
      <c r="B166" s="45"/>
      <c r="C166" s="27" t="s">
        <v>174</v>
      </c>
      <c r="D166" s="11">
        <v>23431</v>
      </c>
      <c r="E166" s="12"/>
      <c r="F166" s="13"/>
    </row>
    <row r="167" spans="2:6" ht="20.25">
      <c r="B167" s="45"/>
      <c r="C167" s="27" t="s">
        <v>175</v>
      </c>
      <c r="D167" s="11">
        <v>21003</v>
      </c>
      <c r="E167" s="12"/>
      <c r="F167" s="13"/>
    </row>
    <row r="168" spans="2:6" ht="20.25">
      <c r="B168" s="45"/>
      <c r="C168" s="27" t="s">
        <v>176</v>
      </c>
      <c r="D168" s="11">
        <v>23716</v>
      </c>
      <c r="E168" s="12"/>
      <c r="F168" s="13"/>
    </row>
    <row r="169" spans="2:6" ht="20.25">
      <c r="B169" s="45"/>
      <c r="C169" s="27" t="s">
        <v>177</v>
      </c>
      <c r="D169" s="11">
        <v>23712</v>
      </c>
      <c r="E169" s="12"/>
      <c r="F169" s="13"/>
    </row>
    <row r="170" spans="2:6" ht="20.25">
      <c r="B170" s="45"/>
      <c r="C170" s="27" t="s">
        <v>178</v>
      </c>
      <c r="D170" s="11">
        <v>23718</v>
      </c>
      <c r="E170" s="12"/>
      <c r="F170" s="13"/>
    </row>
    <row r="171" spans="2:6" ht="41.25">
      <c r="B171" s="46"/>
      <c r="C171" s="28" t="s">
        <v>179</v>
      </c>
      <c r="D171" s="15">
        <v>26202</v>
      </c>
      <c r="E171" s="12"/>
      <c r="F171" s="13"/>
    </row>
    <row r="172" spans="2:6" ht="20.25">
      <c r="B172" s="29" t="s">
        <v>180</v>
      </c>
      <c r="C172" s="30"/>
      <c r="D172" s="31" t="s">
        <v>181</v>
      </c>
      <c r="E172" s="32"/>
      <c r="F172" s="33"/>
    </row>
    <row r="173" spans="2:6" ht="21">
      <c r="B173" s="41" t="s">
        <v>182</v>
      </c>
      <c r="C173" s="42"/>
      <c r="D173" s="43"/>
      <c r="E173" s="34">
        <f>SUM(E4:E170)</f>
        <v>0</v>
      </c>
      <c r="F173" s="35">
        <f>SUM(F4:F170)</f>
        <v>0</v>
      </c>
    </row>
  </sheetData>
  <mergeCells count="10">
    <mergeCell ref="B84:B101"/>
    <mergeCell ref="B102:B113"/>
    <mergeCell ref="B114:B171"/>
    <mergeCell ref="B173:D173"/>
    <mergeCell ref="B2:B3"/>
    <mergeCell ref="C2:C3"/>
    <mergeCell ref="D2:D3"/>
    <mergeCell ref="E2:F2"/>
    <mergeCell ref="B4:B55"/>
    <mergeCell ref="B56:B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F18B-914A-4B22-A5F7-A26C8A304760}">
  <dimension ref="A2:I75"/>
  <sheetViews>
    <sheetView tabSelected="1" topLeftCell="A54" workbookViewId="0">
      <selection activeCell="D22" sqref="D22"/>
    </sheetView>
  </sheetViews>
  <sheetFormatPr defaultRowHeight="15"/>
  <cols>
    <col min="2" max="2" width="15.42578125" customWidth="1"/>
    <col min="4" max="4" width="12.28515625" customWidth="1"/>
    <col min="5" max="5" width="15.28515625" customWidth="1"/>
    <col min="6" max="6" width="17" customWidth="1"/>
    <col min="7" max="7" width="15.85546875" customWidth="1"/>
  </cols>
  <sheetData>
    <row r="2" spans="1:9">
      <c r="A2" s="47" t="s">
        <v>183</v>
      </c>
      <c r="B2" s="47"/>
      <c r="C2" s="47"/>
      <c r="D2" s="47"/>
      <c r="E2" s="47"/>
      <c r="F2" s="47"/>
      <c r="G2" s="47"/>
      <c r="H2" s="47"/>
      <c r="I2">
        <f>2900/8</f>
        <v>362.5</v>
      </c>
    </row>
    <row r="3" spans="1:9">
      <c r="A3" s="48" t="s">
        <v>184</v>
      </c>
      <c r="B3" s="48" t="s">
        <v>185</v>
      </c>
      <c r="C3" s="48" t="s">
        <v>186</v>
      </c>
      <c r="D3" s="48" t="s">
        <v>187</v>
      </c>
      <c r="E3" s="49" t="s">
        <v>188</v>
      </c>
      <c r="F3" s="50" t="s">
        <v>189</v>
      </c>
      <c r="G3" s="50" t="s">
        <v>190</v>
      </c>
      <c r="H3" s="51"/>
      <c r="I3">
        <v>340</v>
      </c>
    </row>
    <row r="4" spans="1:9">
      <c r="A4" s="52">
        <v>20113</v>
      </c>
      <c r="B4" s="52">
        <v>40</v>
      </c>
      <c r="C4" s="52">
        <v>2.33</v>
      </c>
      <c r="D4" s="53">
        <f>B4/8</f>
        <v>5</v>
      </c>
      <c r="E4" s="54">
        <f>B4*I2</f>
        <v>14500</v>
      </c>
      <c r="F4" s="54">
        <f>C4*I3</f>
        <v>792.2</v>
      </c>
      <c r="G4" s="54">
        <f>E4+F4</f>
        <v>15292.2</v>
      </c>
      <c r="H4" s="54"/>
    </row>
    <row r="5" spans="1:9">
      <c r="A5" s="55">
        <v>20140</v>
      </c>
      <c r="B5" s="52">
        <v>8</v>
      </c>
      <c r="C5" s="52">
        <v>0</v>
      </c>
      <c r="D5" s="53">
        <f t="shared" ref="D5:D17" si="0">B5/8</f>
        <v>1</v>
      </c>
      <c r="E5" s="54">
        <f>B5*I2</f>
        <v>2900</v>
      </c>
      <c r="F5" s="54">
        <f>C5*I3</f>
        <v>0</v>
      </c>
      <c r="G5" s="54">
        <f t="shared" ref="G5:G17" si="1">E5+F5</f>
        <v>2900</v>
      </c>
      <c r="H5" s="54"/>
    </row>
    <row r="6" spans="1:9">
      <c r="A6" s="55">
        <v>23018</v>
      </c>
      <c r="B6" s="52">
        <v>8</v>
      </c>
      <c r="C6" s="52">
        <v>0</v>
      </c>
      <c r="D6" s="53">
        <f t="shared" si="0"/>
        <v>1</v>
      </c>
      <c r="E6" s="54">
        <f>B6*I2</f>
        <v>2900</v>
      </c>
      <c r="F6" s="54">
        <f>C6*I3</f>
        <v>0</v>
      </c>
      <c r="G6" s="54">
        <f t="shared" si="1"/>
        <v>2900</v>
      </c>
      <c r="H6" s="56"/>
    </row>
    <row r="7" spans="1:9">
      <c r="A7" s="55">
        <v>23130</v>
      </c>
      <c r="B7" s="52">
        <v>16</v>
      </c>
      <c r="C7" s="52">
        <v>0</v>
      </c>
      <c r="D7" s="53">
        <f t="shared" si="0"/>
        <v>2</v>
      </c>
      <c r="E7" s="54">
        <f>B7*I2</f>
        <v>5800</v>
      </c>
      <c r="F7" s="54">
        <f>C7*I3</f>
        <v>0</v>
      </c>
      <c r="G7" s="54">
        <f t="shared" si="1"/>
        <v>5800</v>
      </c>
      <c r="H7" s="56"/>
    </row>
    <row r="8" spans="1:9">
      <c r="A8" s="55">
        <v>23321</v>
      </c>
      <c r="B8" s="52">
        <v>15.25</v>
      </c>
      <c r="C8" s="52">
        <v>2</v>
      </c>
      <c r="D8" s="57">
        <f t="shared" si="0"/>
        <v>1.90625</v>
      </c>
      <c r="E8" s="54">
        <f>B8*I2</f>
        <v>5528.125</v>
      </c>
      <c r="F8" s="54">
        <f>C8*I3</f>
        <v>680</v>
      </c>
      <c r="G8" s="54">
        <f t="shared" si="1"/>
        <v>6208.125</v>
      </c>
      <c r="H8" s="56"/>
    </row>
    <row r="9" spans="1:9">
      <c r="A9" s="55">
        <v>25122</v>
      </c>
      <c r="B9" s="52">
        <v>7</v>
      </c>
      <c r="C9" s="52">
        <v>0</v>
      </c>
      <c r="D9" s="54">
        <f>B9/8</f>
        <v>0.875</v>
      </c>
      <c r="E9" s="54">
        <f>B9*I2</f>
        <v>2537.5</v>
      </c>
      <c r="F9" s="54">
        <f>C9*I3</f>
        <v>0</v>
      </c>
      <c r="G9" s="54">
        <f t="shared" si="1"/>
        <v>2537.5</v>
      </c>
      <c r="H9" s="56"/>
    </row>
    <row r="10" spans="1:9">
      <c r="A10" s="55">
        <v>25124</v>
      </c>
      <c r="B10" s="52">
        <v>8</v>
      </c>
      <c r="C10" s="52">
        <v>0</v>
      </c>
      <c r="D10" s="53">
        <f t="shared" si="0"/>
        <v>1</v>
      </c>
      <c r="E10" s="54">
        <f>B10*I2</f>
        <v>2900</v>
      </c>
      <c r="F10" s="54">
        <f>C10*I3</f>
        <v>0</v>
      </c>
      <c r="G10" s="54">
        <f t="shared" si="1"/>
        <v>2900</v>
      </c>
      <c r="H10" s="56"/>
    </row>
    <row r="11" spans="1:9">
      <c r="A11" s="55">
        <v>25225</v>
      </c>
      <c r="B11" s="52">
        <v>8</v>
      </c>
      <c r="C11" s="52">
        <v>0</v>
      </c>
      <c r="D11" s="53">
        <f t="shared" si="0"/>
        <v>1</v>
      </c>
      <c r="E11" s="54">
        <f>B11*I2</f>
        <v>2900</v>
      </c>
      <c r="F11" s="54">
        <f>C11*I3</f>
        <v>0</v>
      </c>
      <c r="G11" s="54">
        <f t="shared" si="1"/>
        <v>2900</v>
      </c>
      <c r="H11" s="56"/>
    </row>
    <row r="12" spans="1:9">
      <c r="A12" s="55">
        <v>25231</v>
      </c>
      <c r="B12" s="52">
        <v>16</v>
      </c>
      <c r="C12" s="52">
        <v>0</v>
      </c>
      <c r="D12" s="58">
        <f t="shared" si="0"/>
        <v>2</v>
      </c>
      <c r="E12" s="54">
        <f>B12*I2</f>
        <v>5800</v>
      </c>
      <c r="F12" s="54">
        <f>C12*I3</f>
        <v>0</v>
      </c>
      <c r="G12" s="54">
        <f>E12+F12</f>
        <v>5800</v>
      </c>
      <c r="H12" s="56"/>
    </row>
    <row r="13" spans="1:9">
      <c r="A13" s="55">
        <v>25522</v>
      </c>
      <c r="B13" s="52">
        <v>24</v>
      </c>
      <c r="C13" s="52">
        <v>4.5</v>
      </c>
      <c r="D13" s="58">
        <f t="shared" si="0"/>
        <v>3</v>
      </c>
      <c r="E13" s="54">
        <f>B13*I2</f>
        <v>8700</v>
      </c>
      <c r="F13" s="54">
        <f>C13*I3</f>
        <v>1530</v>
      </c>
      <c r="G13" s="54">
        <f t="shared" si="1"/>
        <v>10230</v>
      </c>
      <c r="H13" s="56"/>
    </row>
    <row r="14" spans="1:9">
      <c r="A14" s="55">
        <v>25731</v>
      </c>
      <c r="B14" s="52">
        <v>8</v>
      </c>
      <c r="C14" s="52">
        <v>0</v>
      </c>
      <c r="D14" s="53">
        <f t="shared" si="0"/>
        <v>1</v>
      </c>
      <c r="E14" s="54">
        <f>B14*I2</f>
        <v>2900</v>
      </c>
      <c r="F14" s="54">
        <f>C14*I3</f>
        <v>0</v>
      </c>
      <c r="G14" s="54">
        <f t="shared" si="1"/>
        <v>2900</v>
      </c>
      <c r="H14" s="56"/>
    </row>
    <row r="15" spans="1:9">
      <c r="A15" s="55">
        <v>25820</v>
      </c>
      <c r="B15" s="52">
        <v>8</v>
      </c>
      <c r="C15" s="52">
        <v>0</v>
      </c>
      <c r="D15" s="53">
        <f t="shared" si="0"/>
        <v>1</v>
      </c>
      <c r="E15" s="54">
        <f>B15*I2</f>
        <v>2900</v>
      </c>
      <c r="F15" s="54">
        <f>C15*I3</f>
        <v>0</v>
      </c>
      <c r="G15" s="54">
        <f t="shared" si="1"/>
        <v>2900</v>
      </c>
      <c r="H15" s="56"/>
    </row>
    <row r="16" spans="1:9">
      <c r="A16" s="55">
        <v>25965</v>
      </c>
      <c r="B16" s="52">
        <v>8</v>
      </c>
      <c r="C16" s="52">
        <v>0</v>
      </c>
      <c r="D16" s="53">
        <f t="shared" si="0"/>
        <v>1</v>
      </c>
      <c r="E16" s="54">
        <f>B16*I2</f>
        <v>2900</v>
      </c>
      <c r="F16" s="54">
        <f>C16*I3</f>
        <v>0</v>
      </c>
      <c r="G16" s="54">
        <f t="shared" si="1"/>
        <v>2900</v>
      </c>
      <c r="H16" s="56"/>
    </row>
    <row r="17" spans="1:9">
      <c r="A17" s="52">
        <v>25969</v>
      </c>
      <c r="B17" s="59">
        <v>40</v>
      </c>
      <c r="C17" s="52">
        <v>0</v>
      </c>
      <c r="D17" s="53">
        <f t="shared" si="0"/>
        <v>5</v>
      </c>
      <c r="E17" s="54">
        <f>B17*I2</f>
        <v>14500</v>
      </c>
      <c r="F17" s="54">
        <f>C17*I3</f>
        <v>0</v>
      </c>
      <c r="G17" s="54">
        <f t="shared" si="1"/>
        <v>14500</v>
      </c>
      <c r="H17" s="56"/>
    </row>
    <row r="18" spans="1:9">
      <c r="B18" s="60">
        <f t="shared" ref="B18:F18" si="2">SUBTOTAL(9,B4:B17)</f>
        <v>214.25</v>
      </c>
      <c r="C18" s="60">
        <f t="shared" si="2"/>
        <v>8.83</v>
      </c>
      <c r="D18" s="61">
        <f t="shared" si="2"/>
        <v>26.78125</v>
      </c>
      <c r="E18" s="60">
        <f t="shared" si="2"/>
        <v>77665.625</v>
      </c>
      <c r="F18" s="60">
        <f t="shared" si="2"/>
        <v>3002.2</v>
      </c>
      <c r="G18" s="60">
        <f>SUBTOTAL(9,G4:G17)</f>
        <v>80667.824999999997</v>
      </c>
    </row>
    <row r="21" spans="1:9">
      <c r="A21" s="47" t="s">
        <v>191</v>
      </c>
      <c r="B21" s="47"/>
      <c r="C21" s="47"/>
      <c r="D21" s="47"/>
      <c r="E21" s="47"/>
      <c r="F21" s="47"/>
      <c r="G21" s="47"/>
      <c r="H21" s="47"/>
      <c r="I21">
        <f>2900/8</f>
        <v>362.5</v>
      </c>
    </row>
    <row r="22" spans="1:9">
      <c r="A22" s="48" t="s">
        <v>184</v>
      </c>
      <c r="B22" s="48" t="s">
        <v>185</v>
      </c>
      <c r="C22" s="48" t="s">
        <v>186</v>
      </c>
      <c r="D22" s="48" t="s">
        <v>187</v>
      </c>
      <c r="E22" s="49" t="s">
        <v>188</v>
      </c>
      <c r="F22" s="50" t="s">
        <v>189</v>
      </c>
      <c r="G22" s="50" t="s">
        <v>190</v>
      </c>
      <c r="H22" s="51"/>
      <c r="I22">
        <v>340</v>
      </c>
    </row>
    <row r="23" spans="1:9">
      <c r="A23" s="62">
        <v>23321</v>
      </c>
      <c r="B23" s="62">
        <v>16</v>
      </c>
      <c r="C23" s="62">
        <v>0</v>
      </c>
      <c r="D23" s="53">
        <f>B23/8</f>
        <v>2</v>
      </c>
      <c r="E23" s="54">
        <f>B23*I21</f>
        <v>5800</v>
      </c>
      <c r="F23" s="54">
        <f>C23*I22</f>
        <v>0</v>
      </c>
      <c r="G23" s="54">
        <f>E23+F23</f>
        <v>5800</v>
      </c>
      <c r="H23" s="54"/>
    </row>
    <row r="24" spans="1:9">
      <c r="A24" s="63">
        <v>25023</v>
      </c>
      <c r="B24" s="62">
        <v>24</v>
      </c>
      <c r="C24" s="62">
        <v>0</v>
      </c>
      <c r="D24" s="57">
        <f t="shared" ref="D24:D36" si="3">B24/8</f>
        <v>3</v>
      </c>
      <c r="E24" s="54">
        <f>B24*I21</f>
        <v>8700</v>
      </c>
      <c r="F24" s="54">
        <f>C24*I22</f>
        <v>0</v>
      </c>
      <c r="G24" s="54">
        <f t="shared" ref="G24:G36" si="4">E24+F24</f>
        <v>8700</v>
      </c>
      <c r="H24" s="54"/>
    </row>
    <row r="25" spans="1:9">
      <c r="A25" s="63">
        <v>25043</v>
      </c>
      <c r="B25" s="62">
        <v>8</v>
      </c>
      <c r="C25" s="62">
        <v>0</v>
      </c>
      <c r="D25" s="57">
        <f t="shared" si="3"/>
        <v>1</v>
      </c>
      <c r="E25" s="54">
        <f>B25*I21</f>
        <v>2900</v>
      </c>
      <c r="F25" s="54">
        <f>C25*I22</f>
        <v>0</v>
      </c>
      <c r="G25" s="54">
        <f t="shared" si="4"/>
        <v>2900</v>
      </c>
      <c r="H25" s="56"/>
    </row>
    <row r="26" spans="1:9">
      <c r="A26" s="63">
        <v>25123</v>
      </c>
      <c r="B26" s="62">
        <v>30.5</v>
      </c>
      <c r="C26" s="62">
        <v>4</v>
      </c>
      <c r="D26" s="57">
        <f t="shared" si="3"/>
        <v>3.8125</v>
      </c>
      <c r="E26" s="54">
        <f>B26*I21</f>
        <v>11056.25</v>
      </c>
      <c r="F26" s="54">
        <f>C26*I22</f>
        <v>1360</v>
      </c>
      <c r="G26" s="54">
        <f t="shared" si="4"/>
        <v>12416.25</v>
      </c>
      <c r="H26" s="56"/>
    </row>
    <row r="27" spans="1:9">
      <c r="A27" s="63">
        <v>25125</v>
      </c>
      <c r="B27" s="62">
        <v>24</v>
      </c>
      <c r="C27" s="62">
        <v>0</v>
      </c>
      <c r="D27" s="57">
        <f t="shared" si="3"/>
        <v>3</v>
      </c>
      <c r="E27" s="54">
        <f>B27*I21</f>
        <v>8700</v>
      </c>
      <c r="F27" s="54">
        <f>C27*I22</f>
        <v>0</v>
      </c>
      <c r="G27" s="54">
        <f t="shared" si="4"/>
        <v>8700</v>
      </c>
      <c r="H27" s="56"/>
    </row>
    <row r="28" spans="1:9">
      <c r="A28" s="63">
        <v>25223</v>
      </c>
      <c r="B28" s="62">
        <v>7.5</v>
      </c>
      <c r="C28" s="62">
        <v>0</v>
      </c>
      <c r="D28" s="57">
        <f>B28/8</f>
        <v>0.9375</v>
      </c>
      <c r="E28" s="54">
        <f>B28*I21</f>
        <v>2718.75</v>
      </c>
      <c r="F28" s="54">
        <f>C28*I22</f>
        <v>0</v>
      </c>
      <c r="G28" s="54">
        <f t="shared" si="4"/>
        <v>2718.75</v>
      </c>
      <c r="H28" s="56"/>
    </row>
    <row r="29" spans="1:9">
      <c r="A29" s="55">
        <v>25231</v>
      </c>
      <c r="B29" s="52">
        <v>8</v>
      </c>
      <c r="C29" s="52">
        <v>0</v>
      </c>
      <c r="D29" s="57">
        <f t="shared" si="3"/>
        <v>1</v>
      </c>
      <c r="E29" s="54">
        <f>B29*I21</f>
        <v>2900</v>
      </c>
      <c r="F29" s="54">
        <f>C29*I22</f>
        <v>0</v>
      </c>
      <c r="G29" s="54">
        <f t="shared" si="4"/>
        <v>2900</v>
      </c>
      <c r="H29" s="56"/>
    </row>
    <row r="30" spans="1:9">
      <c r="A30" s="63">
        <v>25325</v>
      </c>
      <c r="B30" s="62">
        <v>11.25</v>
      </c>
      <c r="C30" s="62">
        <v>0</v>
      </c>
      <c r="D30" s="57">
        <f t="shared" si="3"/>
        <v>1.40625</v>
      </c>
      <c r="E30" s="54">
        <f>B30*I21</f>
        <v>4078.125</v>
      </c>
      <c r="F30" s="54">
        <f>C30*I22</f>
        <v>0</v>
      </c>
      <c r="G30" s="54">
        <f t="shared" si="4"/>
        <v>4078.125</v>
      </c>
      <c r="H30" s="56"/>
    </row>
    <row r="31" spans="1:9">
      <c r="A31" s="55">
        <v>25731</v>
      </c>
      <c r="B31" s="52">
        <v>8</v>
      </c>
      <c r="C31" s="52">
        <v>0</v>
      </c>
      <c r="D31" s="53">
        <f t="shared" si="3"/>
        <v>1</v>
      </c>
      <c r="E31" s="54">
        <f>B31*I21</f>
        <v>2900</v>
      </c>
      <c r="F31" s="54">
        <f>C31*I22</f>
        <v>0</v>
      </c>
      <c r="G31" s="54">
        <f>E31+F31</f>
        <v>2900</v>
      </c>
      <c r="H31" s="56"/>
    </row>
    <row r="32" spans="1:9">
      <c r="A32" s="55">
        <v>25931</v>
      </c>
      <c r="B32" s="52">
        <v>16</v>
      </c>
      <c r="C32" s="52">
        <v>0</v>
      </c>
      <c r="D32" s="54">
        <f t="shared" si="3"/>
        <v>2</v>
      </c>
      <c r="E32" s="54">
        <f>B32*I21</f>
        <v>5800</v>
      </c>
      <c r="F32" s="54">
        <f>C32*I22</f>
        <v>0</v>
      </c>
      <c r="G32" s="54">
        <f t="shared" si="4"/>
        <v>5800</v>
      </c>
      <c r="H32" s="56"/>
    </row>
    <row r="33" spans="1:8">
      <c r="A33" s="55">
        <v>25935</v>
      </c>
      <c r="B33" s="52">
        <v>8</v>
      </c>
      <c r="C33" s="52">
        <v>0</v>
      </c>
      <c r="D33" s="53">
        <f t="shared" si="3"/>
        <v>1</v>
      </c>
      <c r="E33" s="54">
        <f>B33*I21</f>
        <v>2900</v>
      </c>
      <c r="F33" s="54">
        <f>C33*I22</f>
        <v>0</v>
      </c>
      <c r="G33" s="54">
        <f t="shared" si="4"/>
        <v>2900</v>
      </c>
      <c r="H33" s="56"/>
    </row>
    <row r="34" spans="1:8">
      <c r="A34" s="55">
        <v>25965</v>
      </c>
      <c r="B34" s="52">
        <v>8</v>
      </c>
      <c r="C34" s="52">
        <v>0</v>
      </c>
      <c r="D34" s="57">
        <f t="shared" si="3"/>
        <v>1</v>
      </c>
      <c r="E34" s="54">
        <f>B34*I21</f>
        <v>2900</v>
      </c>
      <c r="F34" s="54">
        <f>C34*I22</f>
        <v>0</v>
      </c>
      <c r="G34" s="54">
        <f t="shared" si="4"/>
        <v>2900</v>
      </c>
      <c r="H34" s="56"/>
    </row>
    <row r="35" spans="1:8">
      <c r="A35" s="55">
        <v>25969</v>
      </c>
      <c r="B35" s="52">
        <v>16</v>
      </c>
      <c r="C35" s="52">
        <v>0</v>
      </c>
      <c r="D35" s="57">
        <f t="shared" si="3"/>
        <v>2</v>
      </c>
      <c r="E35" s="54">
        <f>B35*I21</f>
        <v>5800</v>
      </c>
      <c r="F35" s="54">
        <f>C35*I22</f>
        <v>0</v>
      </c>
      <c r="G35" s="54">
        <f t="shared" si="4"/>
        <v>5800</v>
      </c>
      <c r="H35" s="56"/>
    </row>
    <row r="36" spans="1:8">
      <c r="A36" s="52"/>
      <c r="B36" s="59"/>
      <c r="C36" s="52"/>
      <c r="D36" s="53">
        <f t="shared" si="3"/>
        <v>0</v>
      </c>
      <c r="E36" s="54">
        <f>B36*I21</f>
        <v>0</v>
      </c>
      <c r="F36" s="54">
        <f>C36*I22</f>
        <v>0</v>
      </c>
      <c r="G36" s="54">
        <f t="shared" si="4"/>
        <v>0</v>
      </c>
      <c r="H36" s="54"/>
    </row>
    <row r="37" spans="1:8">
      <c r="B37" s="60">
        <f t="shared" ref="B37:F37" si="5">SUBTOTAL(9,B23:B36)</f>
        <v>185.25</v>
      </c>
      <c r="C37" s="60">
        <f t="shared" si="5"/>
        <v>4</v>
      </c>
      <c r="D37" s="61">
        <f t="shared" si="5"/>
        <v>23.15625</v>
      </c>
      <c r="E37" s="60">
        <f t="shared" si="5"/>
        <v>67153.125</v>
      </c>
      <c r="F37" s="60">
        <f t="shared" si="5"/>
        <v>1360</v>
      </c>
      <c r="G37" s="60">
        <f>SUBTOTAL(9,G23:G36)</f>
        <v>68513.125</v>
      </c>
    </row>
    <row r="39" spans="1:8">
      <c r="A39" s="64" t="s">
        <v>192</v>
      </c>
      <c r="B39" s="64"/>
      <c r="C39" s="64"/>
      <c r="D39" s="64"/>
      <c r="E39" s="64"/>
      <c r="F39" s="64"/>
      <c r="G39" s="64"/>
      <c r="H39" s="64"/>
    </row>
    <row r="40" spans="1:8">
      <c r="A40" s="65" t="s">
        <v>184</v>
      </c>
      <c r="B40" s="65" t="s">
        <v>185</v>
      </c>
      <c r="C40" s="65" t="s">
        <v>186</v>
      </c>
      <c r="D40" s="65" t="s">
        <v>193</v>
      </c>
      <c r="E40" s="66" t="s">
        <v>188</v>
      </c>
      <c r="F40" s="67" t="s">
        <v>189</v>
      </c>
      <c r="G40" s="67"/>
      <c r="H40" s="68"/>
    </row>
    <row r="41" spans="1:8">
      <c r="A41" s="63">
        <v>20140</v>
      </c>
      <c r="B41" s="62">
        <v>8</v>
      </c>
      <c r="C41" s="62">
        <v>0</v>
      </c>
      <c r="D41" s="69">
        <f>B41/8</f>
        <v>1</v>
      </c>
      <c r="E41" s="54">
        <f>D41*6100</f>
        <v>6100</v>
      </c>
      <c r="F41" s="54">
        <f>C41*460</f>
        <v>0</v>
      </c>
      <c r="G41" s="54">
        <f>E41+F41</f>
        <v>6100</v>
      </c>
      <c r="H41" s="54"/>
    </row>
    <row r="42" spans="1:8">
      <c r="A42" s="63">
        <v>20240</v>
      </c>
      <c r="B42" s="62">
        <v>56</v>
      </c>
      <c r="C42" s="62">
        <v>2</v>
      </c>
      <c r="D42" s="53">
        <f>B42/8</f>
        <v>7</v>
      </c>
      <c r="E42" s="54">
        <f t="shared" ref="E42:E55" si="6">D42*6100</f>
        <v>42700</v>
      </c>
      <c r="F42" s="54">
        <f t="shared" ref="F42:F55" si="7">C42*460</f>
        <v>920</v>
      </c>
      <c r="G42" s="54">
        <f t="shared" ref="G42:G55" si="8">E42+F42</f>
        <v>43620</v>
      </c>
      <c r="H42" s="54"/>
    </row>
    <row r="43" spans="1:8">
      <c r="A43" s="63">
        <v>20260</v>
      </c>
      <c r="B43" s="62">
        <v>8</v>
      </c>
      <c r="C43" s="62">
        <v>0</v>
      </c>
      <c r="D43" s="53">
        <f t="shared" ref="D43:D55" si="9">B43/8</f>
        <v>1</v>
      </c>
      <c r="E43" s="54">
        <f t="shared" si="6"/>
        <v>6100</v>
      </c>
      <c r="F43" s="54">
        <f t="shared" si="7"/>
        <v>0</v>
      </c>
      <c r="G43" s="54">
        <f t="shared" si="8"/>
        <v>6100</v>
      </c>
      <c r="H43" s="56"/>
    </row>
    <row r="44" spans="1:8">
      <c r="A44" s="63">
        <v>23018</v>
      </c>
      <c r="B44" s="62">
        <v>16</v>
      </c>
      <c r="C44" s="62">
        <v>27.5</v>
      </c>
      <c r="D44" s="53">
        <f t="shared" si="9"/>
        <v>2</v>
      </c>
      <c r="E44" s="54">
        <f t="shared" si="6"/>
        <v>12200</v>
      </c>
      <c r="F44" s="54">
        <f t="shared" si="7"/>
        <v>12650</v>
      </c>
      <c r="G44" s="54">
        <f t="shared" si="8"/>
        <v>24850</v>
      </c>
      <c r="H44" s="56"/>
    </row>
    <row r="45" spans="1:8">
      <c r="A45" s="63">
        <v>23321</v>
      </c>
      <c r="B45" s="62">
        <v>8</v>
      </c>
      <c r="C45" s="62">
        <v>0</v>
      </c>
      <c r="D45" s="53">
        <f t="shared" si="9"/>
        <v>1</v>
      </c>
      <c r="E45" s="54">
        <f t="shared" si="6"/>
        <v>6100</v>
      </c>
      <c r="F45" s="54">
        <f t="shared" si="7"/>
        <v>0</v>
      </c>
      <c r="G45" s="54">
        <f t="shared" si="8"/>
        <v>6100</v>
      </c>
      <c r="H45" s="56"/>
    </row>
    <row r="46" spans="1:8">
      <c r="A46" s="63">
        <v>25122</v>
      </c>
      <c r="B46" s="62">
        <v>8</v>
      </c>
      <c r="C46" s="62">
        <v>1.5</v>
      </c>
      <c r="D46" s="53">
        <f t="shared" si="9"/>
        <v>1</v>
      </c>
      <c r="E46" s="54">
        <f t="shared" si="6"/>
        <v>6100</v>
      </c>
      <c r="F46" s="54">
        <f t="shared" si="7"/>
        <v>690</v>
      </c>
      <c r="G46" s="54">
        <f t="shared" si="8"/>
        <v>6790</v>
      </c>
      <c r="H46" s="56"/>
    </row>
    <row r="47" spans="1:8">
      <c r="A47" s="63">
        <v>25231</v>
      </c>
      <c r="B47" s="62">
        <v>72</v>
      </c>
      <c r="C47" s="62">
        <v>0</v>
      </c>
      <c r="D47" s="53">
        <f t="shared" si="9"/>
        <v>9</v>
      </c>
      <c r="E47" s="54">
        <f t="shared" si="6"/>
        <v>54900</v>
      </c>
      <c r="F47" s="54">
        <f t="shared" si="7"/>
        <v>0</v>
      </c>
      <c r="G47" s="54">
        <f t="shared" si="8"/>
        <v>54900</v>
      </c>
      <c r="H47" s="56"/>
    </row>
    <row r="48" spans="1:8">
      <c r="A48" s="63">
        <v>25931</v>
      </c>
      <c r="B48" s="62">
        <v>8</v>
      </c>
      <c r="C48" s="62">
        <v>0</v>
      </c>
      <c r="D48" s="53">
        <f t="shared" si="9"/>
        <v>1</v>
      </c>
      <c r="E48" s="54">
        <f t="shared" si="6"/>
        <v>6100</v>
      </c>
      <c r="F48" s="54">
        <f t="shared" si="7"/>
        <v>0</v>
      </c>
      <c r="G48" s="54">
        <f t="shared" si="8"/>
        <v>6100</v>
      </c>
      <c r="H48" s="56"/>
    </row>
    <row r="49" spans="1:9">
      <c r="A49" s="63">
        <v>25965</v>
      </c>
      <c r="B49" s="62">
        <v>8</v>
      </c>
      <c r="C49" s="62">
        <v>0.71</v>
      </c>
      <c r="D49" s="53">
        <f t="shared" si="9"/>
        <v>1</v>
      </c>
      <c r="E49" s="54">
        <f t="shared" si="6"/>
        <v>6100</v>
      </c>
      <c r="F49" s="54">
        <f t="shared" si="7"/>
        <v>326.59999999999997</v>
      </c>
      <c r="G49" s="54">
        <f t="shared" si="8"/>
        <v>6426.6</v>
      </c>
      <c r="H49" s="56"/>
    </row>
    <row r="50" spans="1:9">
      <c r="A50" s="63">
        <v>25969</v>
      </c>
      <c r="B50" s="62">
        <v>16</v>
      </c>
      <c r="C50" s="62">
        <v>0</v>
      </c>
      <c r="D50" s="53">
        <f t="shared" si="9"/>
        <v>2</v>
      </c>
      <c r="E50" s="54">
        <f t="shared" si="6"/>
        <v>12200</v>
      </c>
      <c r="F50" s="54">
        <f t="shared" si="7"/>
        <v>0</v>
      </c>
      <c r="G50" s="54">
        <f t="shared" si="8"/>
        <v>12200</v>
      </c>
      <c r="H50" s="56"/>
    </row>
    <row r="51" spans="1:9">
      <c r="A51" s="63"/>
      <c r="B51" s="62"/>
      <c r="C51" s="62"/>
      <c r="D51" s="53">
        <f t="shared" si="9"/>
        <v>0</v>
      </c>
      <c r="E51" s="54">
        <f t="shared" si="6"/>
        <v>0</v>
      </c>
      <c r="F51" s="54">
        <f t="shared" si="7"/>
        <v>0</v>
      </c>
      <c r="G51" s="54">
        <f t="shared" si="8"/>
        <v>0</v>
      </c>
      <c r="H51" s="56"/>
    </row>
    <row r="52" spans="1:9">
      <c r="A52" s="63"/>
      <c r="B52" s="62"/>
      <c r="C52" s="62"/>
      <c r="D52" s="53">
        <f t="shared" si="9"/>
        <v>0</v>
      </c>
      <c r="E52" s="54">
        <f t="shared" si="6"/>
        <v>0</v>
      </c>
      <c r="F52" s="54">
        <f t="shared" si="7"/>
        <v>0</v>
      </c>
      <c r="G52" s="54">
        <f t="shared" si="8"/>
        <v>0</v>
      </c>
      <c r="H52" s="70"/>
    </row>
    <row r="53" spans="1:9">
      <c r="A53" s="63"/>
      <c r="B53" s="62"/>
      <c r="C53" s="62"/>
      <c r="D53" s="57">
        <f t="shared" si="9"/>
        <v>0</v>
      </c>
      <c r="E53" s="54">
        <f t="shared" si="6"/>
        <v>0</v>
      </c>
      <c r="F53" s="54">
        <f t="shared" si="7"/>
        <v>0</v>
      </c>
      <c r="G53" s="54">
        <f t="shared" si="8"/>
        <v>0</v>
      </c>
      <c r="H53" s="70"/>
    </row>
    <row r="54" spans="1:9">
      <c r="A54" s="63"/>
      <c r="B54" s="62"/>
      <c r="C54" s="62"/>
      <c r="D54" s="57">
        <f t="shared" si="9"/>
        <v>0</v>
      </c>
      <c r="E54" s="54">
        <f t="shared" si="6"/>
        <v>0</v>
      </c>
      <c r="F54" s="54">
        <f t="shared" si="7"/>
        <v>0</v>
      </c>
      <c r="G54" s="54">
        <f t="shared" si="8"/>
        <v>0</v>
      </c>
      <c r="H54" s="70"/>
    </row>
    <row r="55" spans="1:9">
      <c r="A55" s="71"/>
      <c r="B55" s="62"/>
      <c r="C55" s="62"/>
      <c r="D55" s="57">
        <f t="shared" si="9"/>
        <v>0</v>
      </c>
      <c r="E55" s="54">
        <f t="shared" si="6"/>
        <v>0</v>
      </c>
      <c r="F55" s="54">
        <f t="shared" si="7"/>
        <v>0</v>
      </c>
      <c r="G55" s="54">
        <f t="shared" si="8"/>
        <v>0</v>
      </c>
      <c r="H55" s="70"/>
    </row>
    <row r="56" spans="1:9">
      <c r="A56" s="72"/>
      <c r="B56" s="62">
        <f>SUM(B41:B55)</f>
        <v>208</v>
      </c>
      <c r="C56" s="62">
        <f>SUM(C41:C55)</f>
        <v>31.71</v>
      </c>
      <c r="D56" s="57">
        <f>SUM(D41:D55)</f>
        <v>26</v>
      </c>
      <c r="E56" s="54">
        <f>SUM(E41:E55)</f>
        <v>158600</v>
      </c>
      <c r="F56" s="54">
        <f>SUM(F41:F55)</f>
        <v>14586.6</v>
      </c>
      <c r="G56" s="54">
        <f>SUM(G41:G55)</f>
        <v>173186.6</v>
      </c>
      <c r="H56" s="72"/>
    </row>
    <row r="58" spans="1:9">
      <c r="A58" s="47" t="s">
        <v>194</v>
      </c>
      <c r="B58" s="47"/>
      <c r="C58" s="47"/>
      <c r="D58" s="47"/>
      <c r="E58" s="47"/>
      <c r="F58" s="47"/>
      <c r="G58" s="47"/>
      <c r="H58" s="47"/>
      <c r="I58">
        <f>3900/8</f>
        <v>487.5</v>
      </c>
    </row>
    <row r="59" spans="1:9">
      <c r="A59" s="65" t="s">
        <v>184</v>
      </c>
      <c r="B59" s="65" t="s">
        <v>185</v>
      </c>
      <c r="C59" s="65" t="s">
        <v>186</v>
      </c>
      <c r="D59" s="65" t="s">
        <v>195</v>
      </c>
      <c r="E59" s="66" t="s">
        <v>188</v>
      </c>
      <c r="F59" s="67" t="s">
        <v>189</v>
      </c>
      <c r="G59" s="67"/>
      <c r="H59" s="68"/>
      <c r="I59">
        <v>390</v>
      </c>
    </row>
    <row r="60" spans="1:9">
      <c r="A60" s="62">
        <v>20240</v>
      </c>
      <c r="B60" s="62">
        <v>16</v>
      </c>
      <c r="C60" s="62">
        <v>0</v>
      </c>
      <c r="D60" s="53">
        <f>B60/8</f>
        <v>2</v>
      </c>
      <c r="E60" s="54">
        <f>B60*I58</f>
        <v>7800</v>
      </c>
      <c r="F60" s="54">
        <f>C60*I59</f>
        <v>0</v>
      </c>
      <c r="G60" s="54">
        <f>E60+F60</f>
        <v>7800</v>
      </c>
      <c r="H60" s="54"/>
    </row>
    <row r="61" spans="1:9">
      <c r="A61" s="62">
        <v>23018</v>
      </c>
      <c r="B61" s="62">
        <v>8</v>
      </c>
      <c r="C61" s="62">
        <v>0</v>
      </c>
      <c r="D61" s="53">
        <f t="shared" ref="D61:D74" si="10">B61/8</f>
        <v>1</v>
      </c>
      <c r="E61" s="54">
        <f>B61*I58</f>
        <v>3900</v>
      </c>
      <c r="F61" s="54">
        <f>C61*I59</f>
        <v>0</v>
      </c>
      <c r="G61" s="54">
        <f t="shared" ref="G61:G75" si="11">E61+F61</f>
        <v>3900</v>
      </c>
      <c r="H61" s="54"/>
    </row>
    <row r="62" spans="1:9">
      <c r="A62" s="63">
        <v>23321</v>
      </c>
      <c r="B62" s="62">
        <v>32</v>
      </c>
      <c r="C62" s="62">
        <v>0</v>
      </c>
      <c r="D62" s="53">
        <f t="shared" si="10"/>
        <v>4</v>
      </c>
      <c r="E62" s="54">
        <f>B62*I58</f>
        <v>15600</v>
      </c>
      <c r="F62" s="54">
        <f>C62*I59</f>
        <v>0</v>
      </c>
      <c r="G62" s="54">
        <f t="shared" si="11"/>
        <v>15600</v>
      </c>
      <c r="H62" s="56"/>
    </row>
    <row r="63" spans="1:9">
      <c r="A63" s="63">
        <v>25121</v>
      </c>
      <c r="B63" s="62">
        <v>8</v>
      </c>
      <c r="C63" s="62">
        <v>0</v>
      </c>
      <c r="D63" s="53">
        <f t="shared" si="10"/>
        <v>1</v>
      </c>
      <c r="E63" s="54">
        <f>B63*I58</f>
        <v>3900</v>
      </c>
      <c r="F63" s="54">
        <f>C63*I59</f>
        <v>0</v>
      </c>
      <c r="G63" s="54">
        <f t="shared" si="11"/>
        <v>3900</v>
      </c>
      <c r="H63" s="56"/>
    </row>
    <row r="64" spans="1:9">
      <c r="A64" s="63">
        <v>25122</v>
      </c>
      <c r="B64" s="62">
        <v>8</v>
      </c>
      <c r="C64" s="62">
        <v>0</v>
      </c>
      <c r="D64" s="53">
        <f t="shared" si="10"/>
        <v>1</v>
      </c>
      <c r="E64" s="54">
        <f>B64*I58</f>
        <v>3900</v>
      </c>
      <c r="F64" s="54">
        <f>C64*I59</f>
        <v>0</v>
      </c>
      <c r="G64" s="54">
        <f t="shared" si="11"/>
        <v>3900</v>
      </c>
      <c r="H64" s="56"/>
    </row>
    <row r="65" spans="1:8">
      <c r="A65" s="63">
        <v>25223</v>
      </c>
      <c r="B65" s="62">
        <v>16</v>
      </c>
      <c r="C65" s="62">
        <v>0</v>
      </c>
      <c r="D65" s="53">
        <f t="shared" si="10"/>
        <v>2</v>
      </c>
      <c r="E65" s="54">
        <f>B65*I58</f>
        <v>7800</v>
      </c>
      <c r="F65" s="54">
        <f>C65*I59</f>
        <v>0</v>
      </c>
      <c r="G65" s="54">
        <f t="shared" si="11"/>
        <v>7800</v>
      </c>
      <c r="H65" s="56"/>
    </row>
    <row r="66" spans="1:8">
      <c r="A66" s="63">
        <v>25320</v>
      </c>
      <c r="B66" s="62">
        <v>31</v>
      </c>
      <c r="C66" s="62">
        <v>0</v>
      </c>
      <c r="D66" s="57">
        <f t="shared" si="10"/>
        <v>3.875</v>
      </c>
      <c r="E66" s="54">
        <f>B66*I58</f>
        <v>15112.5</v>
      </c>
      <c r="F66" s="54">
        <f>C66*I59</f>
        <v>0</v>
      </c>
      <c r="G66" s="54">
        <f t="shared" si="11"/>
        <v>15112.5</v>
      </c>
      <c r="H66" s="56"/>
    </row>
    <row r="67" spans="1:8">
      <c r="A67" s="63">
        <v>25325</v>
      </c>
      <c r="B67" s="62">
        <v>96</v>
      </c>
      <c r="C67" s="62">
        <v>0</v>
      </c>
      <c r="D67" s="53">
        <f t="shared" si="10"/>
        <v>12</v>
      </c>
      <c r="E67" s="54">
        <f>B67*I58</f>
        <v>46800</v>
      </c>
      <c r="F67" s="54">
        <f>C67*I59</f>
        <v>0</v>
      </c>
      <c r="G67" s="54">
        <f t="shared" si="11"/>
        <v>46800</v>
      </c>
      <c r="H67" s="56"/>
    </row>
    <row r="68" spans="1:8">
      <c r="A68" s="63">
        <v>25934</v>
      </c>
      <c r="B68" s="62">
        <v>8</v>
      </c>
      <c r="C68" s="62">
        <v>0.75</v>
      </c>
      <c r="D68" s="53">
        <f t="shared" si="10"/>
        <v>1</v>
      </c>
      <c r="E68" s="54">
        <f>B68*I58</f>
        <v>3900</v>
      </c>
      <c r="F68" s="54">
        <f>C68*I59</f>
        <v>292.5</v>
      </c>
      <c r="G68" s="54">
        <f t="shared" si="11"/>
        <v>4192.5</v>
      </c>
      <c r="H68" s="56"/>
    </row>
    <row r="69" spans="1:8">
      <c r="A69" s="63">
        <v>25966</v>
      </c>
      <c r="B69" s="62">
        <v>8</v>
      </c>
      <c r="C69" s="62">
        <v>0</v>
      </c>
      <c r="D69" s="53">
        <f t="shared" si="10"/>
        <v>1</v>
      </c>
      <c r="E69" s="54">
        <f>B69*I58</f>
        <v>3900</v>
      </c>
      <c r="F69" s="54">
        <f>C69*I59</f>
        <v>0</v>
      </c>
      <c r="G69" s="54">
        <f t="shared" si="11"/>
        <v>3900</v>
      </c>
      <c r="H69" s="56"/>
    </row>
    <row r="70" spans="1:8">
      <c r="A70" s="63"/>
      <c r="B70" s="62"/>
      <c r="C70" s="62"/>
      <c r="D70" s="53">
        <f t="shared" si="10"/>
        <v>0</v>
      </c>
      <c r="E70" s="54">
        <f>B70*I58</f>
        <v>0</v>
      </c>
      <c r="F70" s="54">
        <f>C70*I59</f>
        <v>0</v>
      </c>
      <c r="G70" s="54">
        <f t="shared" si="11"/>
        <v>0</v>
      </c>
      <c r="H70" s="70"/>
    </row>
    <row r="71" spans="1:8">
      <c r="A71" s="63"/>
      <c r="B71" s="62"/>
      <c r="C71" s="62"/>
      <c r="D71" s="53">
        <f t="shared" si="10"/>
        <v>0</v>
      </c>
      <c r="E71" s="54">
        <f>B71*I58</f>
        <v>0</v>
      </c>
      <c r="F71" s="54">
        <f>C71*I59</f>
        <v>0</v>
      </c>
      <c r="G71" s="54">
        <f t="shared" si="11"/>
        <v>0</v>
      </c>
      <c r="H71" s="70"/>
    </row>
    <row r="72" spans="1:8">
      <c r="A72" s="63"/>
      <c r="B72" s="62"/>
      <c r="C72" s="62"/>
      <c r="D72" s="53">
        <f t="shared" si="10"/>
        <v>0</v>
      </c>
      <c r="E72" s="54">
        <f>B72*I58</f>
        <v>0</v>
      </c>
      <c r="F72" s="54">
        <f>C72*I59</f>
        <v>0</v>
      </c>
      <c r="G72" s="54">
        <f t="shared" si="11"/>
        <v>0</v>
      </c>
      <c r="H72" s="70"/>
    </row>
    <row r="73" spans="1:8">
      <c r="A73" s="63"/>
      <c r="B73" s="62"/>
      <c r="C73" s="62"/>
      <c r="D73" s="53"/>
      <c r="E73" s="54">
        <f>B73*I58</f>
        <v>0</v>
      </c>
      <c r="F73" s="54">
        <f>C73*I59</f>
        <v>0</v>
      </c>
      <c r="G73" s="54">
        <f t="shared" si="11"/>
        <v>0</v>
      </c>
      <c r="H73" s="70"/>
    </row>
    <row r="74" spans="1:8">
      <c r="A74" s="63"/>
      <c r="B74" s="62"/>
      <c r="C74" s="62"/>
      <c r="D74" s="53"/>
      <c r="E74" s="54">
        <f>B74*I58</f>
        <v>0</v>
      </c>
      <c r="F74" s="54">
        <f>C74*I59</f>
        <v>0</v>
      </c>
      <c r="G74" s="54">
        <f t="shared" si="11"/>
        <v>0</v>
      </c>
      <c r="H74" s="70"/>
    </row>
    <row r="75" spans="1:8">
      <c r="A75" s="72"/>
      <c r="B75" s="62">
        <f>SUBTOTAL(9,B60:B74)</f>
        <v>231</v>
      </c>
      <c r="C75" s="62">
        <f t="shared" ref="C75:F75" si="12">SUBTOTAL(9,C60:C74)</f>
        <v>0.75</v>
      </c>
      <c r="D75" s="57">
        <f t="shared" si="12"/>
        <v>28.875</v>
      </c>
      <c r="E75" s="62">
        <f t="shared" si="12"/>
        <v>112612.5</v>
      </c>
      <c r="F75" s="62">
        <f t="shared" si="12"/>
        <v>292.5</v>
      </c>
      <c r="G75" s="54">
        <f>SUBTOTAL(9,G60:G74)</f>
        <v>112905</v>
      </c>
      <c r="H75" s="72"/>
    </row>
  </sheetData>
  <mergeCells count="4">
    <mergeCell ref="A2:H2"/>
    <mergeCell ref="A21:H21"/>
    <mergeCell ref="A39:H39"/>
    <mergeCell ref="A58:H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F122-B831-4259-951E-9E709E7702E3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6fa7a4d0650933b61446b4459528c51b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d50364696a284478321f4ea869d34fb8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anebilling xmlns="18f90e43-2029-4237-a292-09aa553a96da" xsi:nil="true"/>
    <lcf76f155ced4ddcb4097134ff3c332f xmlns="18f90e43-2029-4237-a292-09aa553a96da">
      <Terms xmlns="http://schemas.microsoft.com/office/infopath/2007/PartnerControls"/>
    </lcf76f155ced4ddcb4097134ff3c332f>
    <bd xmlns="18f90e43-2029-4237-a292-09aa553a96da" xsi:nil="true"/>
    <TaxCatchAll xmlns="fa9bfa1a-3874-4d76-ab97-a6581b420341" xsi:nil="true"/>
  </documentManagement>
</p:properties>
</file>

<file path=customXml/itemProps1.xml><?xml version="1.0" encoding="utf-8"?>
<ds:datastoreItem xmlns:ds="http://schemas.openxmlformats.org/officeDocument/2006/customXml" ds:itemID="{75C812AB-7C94-40C5-8935-D31B1CC9EB47}"/>
</file>

<file path=customXml/itemProps2.xml><?xml version="1.0" encoding="utf-8"?>
<ds:datastoreItem xmlns:ds="http://schemas.openxmlformats.org/officeDocument/2006/customXml" ds:itemID="{F53E2379-CE15-4976-9FC4-D4B9F75D7E36}"/>
</file>

<file path=customXml/itemProps3.xml><?xml version="1.0" encoding="utf-8"?>
<ds:datastoreItem xmlns:ds="http://schemas.openxmlformats.org/officeDocument/2006/customXml" ds:itemID="{976DECDC-2E67-41AB-83A6-4130E8C1E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CHANDAN KUMAR VISHWAKARMA</cp:lastModifiedBy>
  <cp:revision/>
  <dcterms:created xsi:type="dcterms:W3CDTF">2026-01-14T05:21:22Z</dcterms:created>
  <dcterms:modified xsi:type="dcterms:W3CDTF">2026-01-14T05:44:40Z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</Properties>
</file>