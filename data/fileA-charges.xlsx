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669" windowHeight="8019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<sst xmlns="http://schemas.openxmlformats.org/spreadsheetml/2006/main" count="30" uniqueCount="13">
  <si>
    <t>CHARGING SUMMERY F-15(1)</t>
  </si>
  <si>
    <t>CC</t>
  </si>
  <si>
    <t>NORMAL HRS</t>
  </si>
  <si>
    <t>OT HRS</t>
  </si>
  <si>
    <t>MON. QTY</t>
  </si>
  <si>
    <t>MON. AMOUNT</t>
  </si>
  <si>
    <t>OT AMOUNT</t>
  </si>
  <si>
    <t>TOTAL</t>
  </si>
  <si>
    <t>CHARGING SUMMERY F-15(2)</t>
  </si>
  <si>
    <t>CHARGING SUMMERY (F-20-1)</t>
  </si>
  <si>
    <t>SHIFT</t>
  </si>
  <si>
    <t>CHARGING SUMMERY (TRX-23-1)</t>
  </si>
  <si>
    <t>Shift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</si>
</sst>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#\ ?/?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/>
    </xf>
    <xf numFmtId="2" fontId="2" fillId="0" borderId="1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2" fontId="2" fillId="0" borderId="3" xfId="0" applyNumberFormat="1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/>
    </xf>
    <xf numFmtId="1" fontId="2" fillId="0" borderId="1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2" fontId="2" fillId="0" borderId="0" xfId="0" applyNumberFormat="1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80" fontId="2" fillId="0" borderId="1" xfId="0" applyNumberFormat="1" applyFont="1" applyFill="1" applyBorder="1" applyAlignment="1">
      <alignment horizontal="center"/>
    </xf>
    <xf numFmtId="0" fontId="1" fillId="0" borderId="3" xfId="0" applyFont="1" applyFill="1" applyBorder="1" applyAlignment="1"/>
    <xf numFmtId="0" fontId="2" fillId="3" borderId="3" xfId="0" applyFont="1" applyFill="1" applyBorder="1" applyAlignment="1">
      <alignment horizontal="center"/>
    </xf>
    <xf numFmtId="0" fontId="1" fillId="0" borderId="1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75"/>
  <sheetViews>
    <sheetView tabSelected="1" workbookViewId="0">
      <selection activeCell="A1" sqref="$A1:$XFD1048576"/>
    </sheetView>
  </sheetViews>
  <sheetFormatPr defaultColWidth="9" defaultRowHeight="14.4"/>
  <cols>
    <col min="1" max="1" width="9" style="1"/>
    <col min="2" max="2" width="15.4234234234234" style="1" customWidth="1"/>
    <col min="3" max="3" width="9" style="1"/>
    <col min="4" max="4" width="12.2882882882883" style="1" customWidth="1"/>
    <col min="5" max="5" width="15.2882882882883" style="1" customWidth="1"/>
    <col min="6" max="6" width="17" style="1" customWidth="1"/>
    <col min="7" max="7" width="15.8558558558559" style="1" customWidth="1"/>
    <col min="8" max="16384" width="9" style="1"/>
  </cols>
  <sheetData>
    <row r="2" s="1" customFormat="1" spans="1:9">
      <c r="A2" s="2" t="s">
        <v>0</v>
      </c>
      <c r="B2" s="2"/>
      <c r="C2" s="2"/>
      <c r="D2" s="2"/>
      <c r="E2" s="2"/>
      <c r="F2" s="2"/>
      <c r="G2" s="2"/>
      <c r="H2" s="2"/>
      <c r="I2" s="1">
        <f>2900/8</f>
        <v>362.5</v>
      </c>
    </row>
    <row r="3" s="1" customFormat="1" spans="1:9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5" t="s">
        <v>6</v>
      </c>
      <c r="G3" s="5" t="s">
        <v>7</v>
      </c>
      <c r="H3" s="6"/>
      <c r="I3" s="1">
        <v>340</v>
      </c>
    </row>
    <row r="4" s="1" customFormat="1" spans="1:8">
      <c r="A4" s="7">
        <v>20113</v>
      </c>
      <c r="B4" s="7">
        <v>40</v>
      </c>
      <c r="C4" s="7">
        <v>2.33</v>
      </c>
      <c r="D4" s="8">
        <f t="shared" ref="D4:D17" si="0">B4/8</f>
        <v>5</v>
      </c>
      <c r="E4" s="9">
        <f>B4*I2</f>
        <v>14500</v>
      </c>
      <c r="F4" s="9">
        <f>C4*I3</f>
        <v>792.2</v>
      </c>
      <c r="G4" s="9">
        <f t="shared" ref="G4:G17" si="1">E4+F4</f>
        <v>15292.2</v>
      </c>
      <c r="H4" s="9"/>
    </row>
    <row r="5" s="1" customFormat="1" spans="1:8">
      <c r="A5" s="10">
        <v>20140</v>
      </c>
      <c r="B5" s="7">
        <v>8</v>
      </c>
      <c r="C5" s="7">
        <v>0</v>
      </c>
      <c r="D5" s="8">
        <f t="shared" si="0"/>
        <v>1</v>
      </c>
      <c r="E5" s="9">
        <f>B5*I2</f>
        <v>2900</v>
      </c>
      <c r="F5" s="9">
        <f>C5*I3</f>
        <v>0</v>
      </c>
      <c r="G5" s="9">
        <f t="shared" si="1"/>
        <v>2900</v>
      </c>
      <c r="H5" s="9"/>
    </row>
    <row r="6" s="1" customFormat="1" spans="1:8">
      <c r="A6" s="10">
        <v>23018</v>
      </c>
      <c r="B6" s="7">
        <v>8</v>
      </c>
      <c r="C6" s="7">
        <v>0</v>
      </c>
      <c r="D6" s="8">
        <f t="shared" si="0"/>
        <v>1</v>
      </c>
      <c r="E6" s="9">
        <f>B6*I2</f>
        <v>2900</v>
      </c>
      <c r="F6" s="9">
        <f>C6*I3</f>
        <v>0</v>
      </c>
      <c r="G6" s="9">
        <f t="shared" si="1"/>
        <v>2900</v>
      </c>
      <c r="H6" s="11"/>
    </row>
    <row r="7" s="1" customFormat="1" spans="1:8">
      <c r="A7" s="10">
        <v>23130</v>
      </c>
      <c r="B7" s="7">
        <v>16</v>
      </c>
      <c r="C7" s="7">
        <v>0</v>
      </c>
      <c r="D7" s="8">
        <f t="shared" si="0"/>
        <v>2</v>
      </c>
      <c r="E7" s="9">
        <f>B7*I2</f>
        <v>5800</v>
      </c>
      <c r="F7" s="9">
        <f>C7*I3</f>
        <v>0</v>
      </c>
      <c r="G7" s="9">
        <f t="shared" si="1"/>
        <v>5800</v>
      </c>
      <c r="H7" s="11"/>
    </row>
    <row r="8" s="1" customFormat="1" spans="1:8">
      <c r="A8" s="10">
        <v>23321</v>
      </c>
      <c r="B8" s="7">
        <v>15.25</v>
      </c>
      <c r="C8" s="7">
        <v>2</v>
      </c>
      <c r="D8" s="12">
        <f t="shared" si="0"/>
        <v>1.90625</v>
      </c>
      <c r="E8" s="9">
        <f>B8*I2</f>
        <v>5528.125</v>
      </c>
      <c r="F8" s="9">
        <f>C8*I3</f>
        <v>680</v>
      </c>
      <c r="G8" s="9">
        <f t="shared" si="1"/>
        <v>6208.125</v>
      </c>
      <c r="H8" s="11"/>
    </row>
    <row r="9" s="1" customFormat="1" spans="1:8">
      <c r="A9" s="10">
        <v>25122</v>
      </c>
      <c r="B9" s="7">
        <v>7</v>
      </c>
      <c r="C9" s="7">
        <v>0</v>
      </c>
      <c r="D9" s="9">
        <f t="shared" si="0"/>
        <v>0.875</v>
      </c>
      <c r="E9" s="9">
        <f>B9*I2</f>
        <v>2537.5</v>
      </c>
      <c r="F9" s="9">
        <f>C9*I3</f>
        <v>0</v>
      </c>
      <c r="G9" s="9">
        <f t="shared" si="1"/>
        <v>2537.5</v>
      </c>
      <c r="H9" s="11"/>
    </row>
    <row r="10" s="1" customFormat="1" spans="1:8">
      <c r="A10" s="10">
        <v>25124</v>
      </c>
      <c r="B10" s="7">
        <v>8</v>
      </c>
      <c r="C10" s="7">
        <v>0</v>
      </c>
      <c r="D10" s="8">
        <f t="shared" si="0"/>
        <v>1</v>
      </c>
      <c r="E10" s="9">
        <f>B10*I2</f>
        <v>2900</v>
      </c>
      <c r="F10" s="9">
        <f>C10*I3</f>
        <v>0</v>
      </c>
      <c r="G10" s="9">
        <f t="shared" si="1"/>
        <v>2900</v>
      </c>
      <c r="H10" s="11"/>
    </row>
    <row r="11" s="1" customFormat="1" spans="1:8">
      <c r="A11" s="10">
        <v>25225</v>
      </c>
      <c r="B11" s="7">
        <v>8</v>
      </c>
      <c r="C11" s="7">
        <v>0</v>
      </c>
      <c r="D11" s="8">
        <f t="shared" si="0"/>
        <v>1</v>
      </c>
      <c r="E11" s="9">
        <f>B11*I2</f>
        <v>2900</v>
      </c>
      <c r="F11" s="9">
        <f>C11*I3</f>
        <v>0</v>
      </c>
      <c r="G11" s="9">
        <f t="shared" si="1"/>
        <v>2900</v>
      </c>
      <c r="H11" s="11"/>
    </row>
    <row r="12" s="1" customFormat="1" spans="1:8">
      <c r="A12" s="10">
        <v>25231</v>
      </c>
      <c r="B12" s="7">
        <v>16</v>
      </c>
      <c r="C12" s="7">
        <v>0</v>
      </c>
      <c r="D12" s="13">
        <f t="shared" si="0"/>
        <v>2</v>
      </c>
      <c r="E12" s="9">
        <f>B12*I2</f>
        <v>5800</v>
      </c>
      <c r="F12" s="9">
        <f>C12*I3</f>
        <v>0</v>
      </c>
      <c r="G12" s="9">
        <f t="shared" si="1"/>
        <v>5800</v>
      </c>
      <c r="H12" s="11"/>
    </row>
    <row r="13" s="1" customFormat="1" spans="1:8">
      <c r="A13" s="10">
        <v>25522</v>
      </c>
      <c r="B13" s="7">
        <v>24</v>
      </c>
      <c r="C13" s="7">
        <v>4.5</v>
      </c>
      <c r="D13" s="13">
        <f t="shared" si="0"/>
        <v>3</v>
      </c>
      <c r="E13" s="9">
        <f>B13*I2</f>
        <v>8700</v>
      </c>
      <c r="F13" s="9">
        <f>C13*I3</f>
        <v>1530</v>
      </c>
      <c r="G13" s="9">
        <f t="shared" si="1"/>
        <v>10230</v>
      </c>
      <c r="H13" s="11"/>
    </row>
    <row r="14" s="1" customFormat="1" spans="1:8">
      <c r="A14" s="10">
        <v>25731</v>
      </c>
      <c r="B14" s="7">
        <v>8</v>
      </c>
      <c r="C14" s="7">
        <v>0</v>
      </c>
      <c r="D14" s="8">
        <f t="shared" si="0"/>
        <v>1</v>
      </c>
      <c r="E14" s="9">
        <f>B14*I2</f>
        <v>2900</v>
      </c>
      <c r="F14" s="9">
        <f>C14*I3</f>
        <v>0</v>
      </c>
      <c r="G14" s="9">
        <f t="shared" si="1"/>
        <v>2900</v>
      </c>
      <c r="H14" s="11"/>
    </row>
    <row r="15" s="1" customFormat="1" spans="1:8">
      <c r="A15" s="10">
        <v>25820</v>
      </c>
      <c r="B15" s="7">
        <v>8</v>
      </c>
      <c r="C15" s="7">
        <v>0</v>
      </c>
      <c r="D15" s="8">
        <f t="shared" si="0"/>
        <v>1</v>
      </c>
      <c r="E15" s="9">
        <f>B15*I2</f>
        <v>2900</v>
      </c>
      <c r="F15" s="9">
        <f>C15*I3</f>
        <v>0</v>
      </c>
      <c r="G15" s="9">
        <f t="shared" si="1"/>
        <v>2900</v>
      </c>
      <c r="H15" s="11"/>
    </row>
    <row r="16" s="1" customFormat="1" spans="1:8">
      <c r="A16" s="10">
        <v>25965</v>
      </c>
      <c r="B16" s="7">
        <v>8</v>
      </c>
      <c r="C16" s="7">
        <v>0</v>
      </c>
      <c r="D16" s="8">
        <f t="shared" si="0"/>
        <v>1</v>
      </c>
      <c r="E16" s="9">
        <f>B16*I2</f>
        <v>2900</v>
      </c>
      <c r="F16" s="9">
        <f>C16*I3</f>
        <v>0</v>
      </c>
      <c r="G16" s="9">
        <f t="shared" si="1"/>
        <v>2900</v>
      </c>
      <c r="H16" s="11"/>
    </row>
    <row r="17" s="1" customFormat="1" spans="1:8">
      <c r="A17" s="7">
        <v>25969</v>
      </c>
      <c r="B17" s="14">
        <v>40</v>
      </c>
      <c r="C17" s="7">
        <v>0</v>
      </c>
      <c r="D17" s="8">
        <f t="shared" si="0"/>
        <v>5</v>
      </c>
      <c r="E17" s="9">
        <f>B17*I2</f>
        <v>14500</v>
      </c>
      <c r="F17" s="9">
        <f>C17*I3</f>
        <v>0</v>
      </c>
      <c r="G17" s="9">
        <f t="shared" si="1"/>
        <v>14500</v>
      </c>
      <c r="H17" s="11"/>
    </row>
    <row r="18" s="1" customFormat="1" spans="2:7">
      <c r="B18" s="15">
        <f t="shared" ref="B18:G18" si="2">SUBTOTAL(9,B4:B17)</f>
        <v>214.25</v>
      </c>
      <c r="C18" s="15">
        <f t="shared" si="2"/>
        <v>8.83</v>
      </c>
      <c r="D18" s="16">
        <f t="shared" si="2"/>
        <v>26.78125</v>
      </c>
      <c r="E18" s="15">
        <f t="shared" si="2"/>
        <v>77665.625</v>
      </c>
      <c r="F18" s="15">
        <f t="shared" si="2"/>
        <v>3002.2</v>
      </c>
      <c r="G18" s="15">
        <f t="shared" si="2"/>
        <v>80667.825</v>
      </c>
    </row>
    <row r="21" s="1" customFormat="1" spans="1:9">
      <c r="A21" s="2" t="s">
        <v>8</v>
      </c>
      <c r="B21" s="2"/>
      <c r="C21" s="2"/>
      <c r="D21" s="2"/>
      <c r="E21" s="2"/>
      <c r="F21" s="2"/>
      <c r="G21" s="2"/>
      <c r="H21" s="2"/>
      <c r="I21" s="1">
        <f>2900/8</f>
        <v>362.5</v>
      </c>
    </row>
    <row r="22" s="1" customFormat="1" spans="1:9">
      <c r="A22" s="3" t="s">
        <v>1</v>
      </c>
      <c r="B22" s="3" t="s">
        <v>2</v>
      </c>
      <c r="C22" s="3" t="s">
        <v>3</v>
      </c>
      <c r="D22" s="3" t="s">
        <v>4</v>
      </c>
      <c r="E22" s="4" t="s">
        <v>5</v>
      </c>
      <c r="F22" s="5" t="s">
        <v>6</v>
      </c>
      <c r="G22" s="5" t="s">
        <v>7</v>
      </c>
      <c r="H22" s="6"/>
      <c r="I22" s="1">
        <v>340</v>
      </c>
    </row>
    <row r="23" s="1" customFormat="1" spans="1:8">
      <c r="A23" s="17">
        <v>23321</v>
      </c>
      <c r="B23" s="17">
        <v>16</v>
      </c>
      <c r="C23" s="17">
        <v>0</v>
      </c>
      <c r="D23" s="8">
        <f t="shared" ref="D23:D36" si="3">B23/8</f>
        <v>2</v>
      </c>
      <c r="E23" s="9">
        <f>B23*I21</f>
        <v>5800</v>
      </c>
      <c r="F23" s="9">
        <f>C23*I22</f>
        <v>0</v>
      </c>
      <c r="G23" s="9">
        <f t="shared" ref="G23:G36" si="4">E23+F23</f>
        <v>5800</v>
      </c>
      <c r="H23" s="9"/>
    </row>
    <row r="24" s="1" customFormat="1" spans="1:8">
      <c r="A24" s="18">
        <v>25023</v>
      </c>
      <c r="B24" s="17">
        <v>24</v>
      </c>
      <c r="C24" s="17">
        <v>0</v>
      </c>
      <c r="D24" s="12">
        <f t="shared" si="3"/>
        <v>3</v>
      </c>
      <c r="E24" s="9">
        <f>B24*I21</f>
        <v>8700</v>
      </c>
      <c r="F24" s="9">
        <f>C24*I22</f>
        <v>0</v>
      </c>
      <c r="G24" s="9">
        <f t="shared" si="4"/>
        <v>8700</v>
      </c>
      <c r="H24" s="9"/>
    </row>
    <row r="25" s="1" customFormat="1" spans="1:8">
      <c r="A25" s="18">
        <v>25043</v>
      </c>
      <c r="B25" s="17">
        <v>8</v>
      </c>
      <c r="C25" s="17">
        <v>0</v>
      </c>
      <c r="D25" s="12">
        <f t="shared" si="3"/>
        <v>1</v>
      </c>
      <c r="E25" s="9">
        <f>B25*I21</f>
        <v>2900</v>
      </c>
      <c r="F25" s="9">
        <f>C25*I22</f>
        <v>0</v>
      </c>
      <c r="G25" s="9">
        <f t="shared" si="4"/>
        <v>2900</v>
      </c>
      <c r="H25" s="11"/>
    </row>
    <row r="26" s="1" customFormat="1" spans="1:8">
      <c r="A26" s="18">
        <v>25123</v>
      </c>
      <c r="B26" s="17">
        <v>30.5</v>
      </c>
      <c r="C26" s="17">
        <v>4</v>
      </c>
      <c r="D26" s="12">
        <f t="shared" si="3"/>
        <v>3.8125</v>
      </c>
      <c r="E26" s="9">
        <f>B26*I21</f>
        <v>11056.25</v>
      </c>
      <c r="F26" s="9">
        <f>C26*I22</f>
        <v>1360</v>
      </c>
      <c r="G26" s="9">
        <f t="shared" si="4"/>
        <v>12416.25</v>
      </c>
      <c r="H26" s="11"/>
    </row>
    <row r="27" s="1" customFormat="1" spans="1:8">
      <c r="A27" s="18">
        <v>25125</v>
      </c>
      <c r="B27" s="17">
        <v>24</v>
      </c>
      <c r="C27" s="17">
        <v>0</v>
      </c>
      <c r="D27" s="12">
        <f t="shared" si="3"/>
        <v>3</v>
      </c>
      <c r="E27" s="9">
        <f>B27*I21</f>
        <v>8700</v>
      </c>
      <c r="F27" s="9">
        <f>C27*I22</f>
        <v>0</v>
      </c>
      <c r="G27" s="9">
        <f t="shared" si="4"/>
        <v>8700</v>
      </c>
      <c r="H27" s="11"/>
    </row>
    <row r="28" s="1" customFormat="1" spans="1:8">
      <c r="A28" s="18">
        <v>25223</v>
      </c>
      <c r="B28" s="17">
        <v>7.5</v>
      </c>
      <c r="C28" s="17">
        <v>0</v>
      </c>
      <c r="D28" s="12">
        <f t="shared" si="3"/>
        <v>0.9375</v>
      </c>
      <c r="E28" s="9">
        <f>B28*I21</f>
        <v>2718.75</v>
      </c>
      <c r="F28" s="9">
        <f>C28*I22</f>
        <v>0</v>
      </c>
      <c r="G28" s="9">
        <f t="shared" si="4"/>
        <v>2718.75</v>
      </c>
      <c r="H28" s="11"/>
    </row>
    <row r="29" s="1" customFormat="1" spans="1:8">
      <c r="A29" s="10">
        <v>25231</v>
      </c>
      <c r="B29" s="7">
        <v>8</v>
      </c>
      <c r="C29" s="7">
        <v>0</v>
      </c>
      <c r="D29" s="12">
        <f t="shared" si="3"/>
        <v>1</v>
      </c>
      <c r="E29" s="9">
        <f>B29*I21</f>
        <v>2900</v>
      </c>
      <c r="F29" s="9">
        <f>C29*I22</f>
        <v>0</v>
      </c>
      <c r="G29" s="9">
        <f t="shared" si="4"/>
        <v>2900</v>
      </c>
      <c r="H29" s="11"/>
    </row>
    <row r="30" s="1" customFormat="1" spans="1:8">
      <c r="A30" s="18">
        <v>25325</v>
      </c>
      <c r="B30" s="17">
        <v>11.25</v>
      </c>
      <c r="C30" s="17">
        <v>0</v>
      </c>
      <c r="D30" s="12">
        <f t="shared" si="3"/>
        <v>1.40625</v>
      </c>
      <c r="E30" s="9">
        <f>B30*I21</f>
        <v>4078.125</v>
      </c>
      <c r="F30" s="9">
        <f>C30*I22</f>
        <v>0</v>
      </c>
      <c r="G30" s="9">
        <f t="shared" si="4"/>
        <v>4078.125</v>
      </c>
      <c r="H30" s="11"/>
    </row>
    <row r="31" s="1" customFormat="1" spans="1:8">
      <c r="A31" s="10">
        <v>25731</v>
      </c>
      <c r="B31" s="7">
        <v>8</v>
      </c>
      <c r="C31" s="7">
        <v>0</v>
      </c>
      <c r="D31" s="8">
        <f t="shared" si="3"/>
        <v>1</v>
      </c>
      <c r="E31" s="9">
        <f>B31*I21</f>
        <v>2900</v>
      </c>
      <c r="F31" s="9">
        <f>C31*I22</f>
        <v>0</v>
      </c>
      <c r="G31" s="9">
        <f t="shared" si="4"/>
        <v>2900</v>
      </c>
      <c r="H31" s="11"/>
    </row>
    <row r="32" s="1" customFormat="1" spans="1:8">
      <c r="A32" s="10">
        <v>25931</v>
      </c>
      <c r="B32" s="7">
        <v>16</v>
      </c>
      <c r="C32" s="7">
        <v>0</v>
      </c>
      <c r="D32" s="9">
        <f t="shared" si="3"/>
        <v>2</v>
      </c>
      <c r="E32" s="9">
        <f>B32*I21</f>
        <v>5800</v>
      </c>
      <c r="F32" s="9">
        <f>C32*I22</f>
        <v>0</v>
      </c>
      <c r="G32" s="9">
        <f t="shared" si="4"/>
        <v>5800</v>
      </c>
      <c r="H32" s="11"/>
    </row>
    <row r="33" s="1" customFormat="1" spans="1:8">
      <c r="A33" s="10">
        <v>25935</v>
      </c>
      <c r="B33" s="7">
        <v>8</v>
      </c>
      <c r="C33" s="7">
        <v>0</v>
      </c>
      <c r="D33" s="8">
        <f t="shared" si="3"/>
        <v>1</v>
      </c>
      <c r="E33" s="9">
        <f>B33*I21</f>
        <v>2900</v>
      </c>
      <c r="F33" s="9">
        <f>C33*I22</f>
        <v>0</v>
      </c>
      <c r="G33" s="9">
        <f t="shared" si="4"/>
        <v>2900</v>
      </c>
      <c r="H33" s="11"/>
    </row>
    <row r="34" s="1" customFormat="1" spans="1:8">
      <c r="A34" s="10">
        <v>25965</v>
      </c>
      <c r="B34" s="7">
        <v>8</v>
      </c>
      <c r="C34" s="7">
        <v>0</v>
      </c>
      <c r="D34" s="12">
        <f t="shared" si="3"/>
        <v>1</v>
      </c>
      <c r="E34" s="9">
        <f>B34*I21</f>
        <v>2900</v>
      </c>
      <c r="F34" s="9">
        <f>C34*I22</f>
        <v>0</v>
      </c>
      <c r="G34" s="9">
        <f t="shared" si="4"/>
        <v>2900</v>
      </c>
      <c r="H34" s="11"/>
    </row>
    <row r="35" s="1" customFormat="1" spans="1:8">
      <c r="A35" s="10">
        <v>25969</v>
      </c>
      <c r="B35" s="7">
        <v>16</v>
      </c>
      <c r="C35" s="7">
        <v>0</v>
      </c>
      <c r="D35" s="12">
        <f t="shared" si="3"/>
        <v>2</v>
      </c>
      <c r="E35" s="9">
        <f>B35*I21</f>
        <v>5800</v>
      </c>
      <c r="F35" s="9">
        <f>C35*I22</f>
        <v>0</v>
      </c>
      <c r="G35" s="9">
        <f t="shared" si="4"/>
        <v>5800</v>
      </c>
      <c r="H35" s="11"/>
    </row>
    <row r="36" s="1" customFormat="1" spans="1:8">
      <c r="A36" s="7"/>
      <c r="B36" s="14"/>
      <c r="C36" s="7"/>
      <c r="D36" s="8">
        <f t="shared" si="3"/>
        <v>0</v>
      </c>
      <c r="E36" s="9">
        <f>B36*I21</f>
        <v>0</v>
      </c>
      <c r="F36" s="9">
        <f>C36*I22</f>
        <v>0</v>
      </c>
      <c r="G36" s="9">
        <f t="shared" si="4"/>
        <v>0</v>
      </c>
      <c r="H36" s="9"/>
    </row>
    <row r="37" s="1" customFormat="1" spans="2:7">
      <c r="B37" s="15">
        <f t="shared" ref="B37:G37" si="5">SUBTOTAL(9,B23:B36)</f>
        <v>185.25</v>
      </c>
      <c r="C37" s="15">
        <f t="shared" si="5"/>
        <v>4</v>
      </c>
      <c r="D37" s="16">
        <f t="shared" si="5"/>
        <v>23.15625</v>
      </c>
      <c r="E37" s="15">
        <f t="shared" si="5"/>
        <v>67153.125</v>
      </c>
      <c r="F37" s="15">
        <f t="shared" si="5"/>
        <v>1360</v>
      </c>
      <c r="G37" s="15">
        <f t="shared" si="5"/>
        <v>68513.125</v>
      </c>
    </row>
    <row r="39" s="1" customFormat="1" spans="1:8">
      <c r="A39" s="19" t="s">
        <v>9</v>
      </c>
      <c r="B39" s="19"/>
      <c r="C39" s="19"/>
      <c r="D39" s="19"/>
      <c r="E39" s="19"/>
      <c r="F39" s="19"/>
      <c r="G39" s="19"/>
      <c r="H39" s="19"/>
    </row>
    <row r="40" s="1" customFormat="1" spans="1:8">
      <c r="A40" s="20" t="s">
        <v>1</v>
      </c>
      <c r="B40" s="20" t="s">
        <v>2</v>
      </c>
      <c r="C40" s="20" t="s">
        <v>3</v>
      </c>
      <c r="D40" s="20" t="s">
        <v>10</v>
      </c>
      <c r="E40" s="21" t="s">
        <v>5</v>
      </c>
      <c r="F40" s="22" t="s">
        <v>6</v>
      </c>
      <c r="G40" s="22"/>
      <c r="H40" s="23"/>
    </row>
    <row r="41" s="1" customFormat="1" spans="1:8">
      <c r="A41" s="18">
        <v>20140</v>
      </c>
      <c r="B41" s="17">
        <v>8</v>
      </c>
      <c r="C41" s="17">
        <v>0</v>
      </c>
      <c r="D41" s="24">
        <f t="shared" ref="D41:D55" si="6">B41/8</f>
        <v>1</v>
      </c>
      <c r="E41" s="9">
        <f t="shared" ref="E41:E55" si="7">D41*6100</f>
        <v>6100</v>
      </c>
      <c r="F41" s="9">
        <f t="shared" ref="F41:F55" si="8">C41*460</f>
        <v>0</v>
      </c>
      <c r="G41" s="9">
        <f t="shared" ref="G41:G55" si="9">E41+F41</f>
        <v>6100</v>
      </c>
      <c r="H41" s="9"/>
    </row>
    <row r="42" s="1" customFormat="1" spans="1:8">
      <c r="A42" s="18">
        <v>20240</v>
      </c>
      <c r="B42" s="17">
        <v>56</v>
      </c>
      <c r="C42" s="17">
        <v>2</v>
      </c>
      <c r="D42" s="8">
        <f t="shared" si="6"/>
        <v>7</v>
      </c>
      <c r="E42" s="9">
        <f t="shared" si="7"/>
        <v>42700</v>
      </c>
      <c r="F42" s="9">
        <f t="shared" si="8"/>
        <v>920</v>
      </c>
      <c r="G42" s="9">
        <f t="shared" si="9"/>
        <v>43620</v>
      </c>
      <c r="H42" s="9"/>
    </row>
    <row r="43" s="1" customFormat="1" spans="1:8">
      <c r="A43" s="18">
        <v>20260</v>
      </c>
      <c r="B43" s="17">
        <v>8</v>
      </c>
      <c r="C43" s="17">
        <v>0</v>
      </c>
      <c r="D43" s="8">
        <f t="shared" si="6"/>
        <v>1</v>
      </c>
      <c r="E43" s="9">
        <f t="shared" si="7"/>
        <v>6100</v>
      </c>
      <c r="F43" s="9">
        <f t="shared" si="8"/>
        <v>0</v>
      </c>
      <c r="G43" s="9">
        <f t="shared" si="9"/>
        <v>6100</v>
      </c>
      <c r="H43" s="11"/>
    </row>
    <row r="44" s="1" customFormat="1" spans="1:8">
      <c r="A44" s="18">
        <v>23018</v>
      </c>
      <c r="B44" s="17">
        <v>16</v>
      </c>
      <c r="C44" s="17">
        <v>27.5</v>
      </c>
      <c r="D44" s="8">
        <f t="shared" si="6"/>
        <v>2</v>
      </c>
      <c r="E44" s="9">
        <f t="shared" si="7"/>
        <v>12200</v>
      </c>
      <c r="F44" s="9">
        <f t="shared" si="8"/>
        <v>12650</v>
      </c>
      <c r="G44" s="9">
        <f t="shared" si="9"/>
        <v>24850</v>
      </c>
      <c r="H44" s="11"/>
    </row>
    <row r="45" s="1" customFormat="1" spans="1:8">
      <c r="A45" s="18">
        <v>23321</v>
      </c>
      <c r="B45" s="17">
        <v>8</v>
      </c>
      <c r="C45" s="17">
        <v>0</v>
      </c>
      <c r="D45" s="8">
        <f t="shared" si="6"/>
        <v>1</v>
      </c>
      <c r="E45" s="9">
        <f t="shared" si="7"/>
        <v>6100</v>
      </c>
      <c r="F45" s="9">
        <f t="shared" si="8"/>
        <v>0</v>
      </c>
      <c r="G45" s="9">
        <f t="shared" si="9"/>
        <v>6100</v>
      </c>
      <c r="H45" s="11"/>
    </row>
    <row r="46" s="1" customFormat="1" spans="1:8">
      <c r="A46" s="18">
        <v>25122</v>
      </c>
      <c r="B46" s="17">
        <v>8</v>
      </c>
      <c r="C46" s="17">
        <v>1.5</v>
      </c>
      <c r="D46" s="8">
        <f t="shared" si="6"/>
        <v>1</v>
      </c>
      <c r="E46" s="9">
        <f t="shared" si="7"/>
        <v>6100</v>
      </c>
      <c r="F46" s="9">
        <f t="shared" si="8"/>
        <v>690</v>
      </c>
      <c r="G46" s="9">
        <f t="shared" si="9"/>
        <v>6790</v>
      </c>
      <c r="H46" s="11"/>
    </row>
    <row r="47" s="1" customFormat="1" spans="1:8">
      <c r="A47" s="18">
        <v>25231</v>
      </c>
      <c r="B47" s="17">
        <v>72</v>
      </c>
      <c r="C47" s="17">
        <v>0</v>
      </c>
      <c r="D47" s="8">
        <f t="shared" si="6"/>
        <v>9</v>
      </c>
      <c r="E47" s="9">
        <f t="shared" si="7"/>
        <v>54900</v>
      </c>
      <c r="F47" s="9">
        <f t="shared" si="8"/>
        <v>0</v>
      </c>
      <c r="G47" s="9">
        <f t="shared" si="9"/>
        <v>54900</v>
      </c>
      <c r="H47" s="11"/>
    </row>
    <row r="48" s="1" customFormat="1" spans="1:8">
      <c r="A48" s="18">
        <v>25931</v>
      </c>
      <c r="B48" s="17">
        <v>8</v>
      </c>
      <c r="C48" s="17">
        <v>0</v>
      </c>
      <c r="D48" s="8">
        <f t="shared" si="6"/>
        <v>1</v>
      </c>
      <c r="E48" s="9">
        <f t="shared" si="7"/>
        <v>6100</v>
      </c>
      <c r="F48" s="9">
        <f t="shared" si="8"/>
        <v>0</v>
      </c>
      <c r="G48" s="9">
        <f t="shared" si="9"/>
        <v>6100</v>
      </c>
      <c r="H48" s="11"/>
    </row>
    <row r="49" s="1" customFormat="1" spans="1:8">
      <c r="A49" s="18">
        <v>25965</v>
      </c>
      <c r="B49" s="17">
        <v>8</v>
      </c>
      <c r="C49" s="17">
        <v>0.71</v>
      </c>
      <c r="D49" s="8">
        <f t="shared" si="6"/>
        <v>1</v>
      </c>
      <c r="E49" s="9">
        <f t="shared" si="7"/>
        <v>6100</v>
      </c>
      <c r="F49" s="9">
        <f t="shared" si="8"/>
        <v>326.6</v>
      </c>
      <c r="G49" s="9">
        <f t="shared" si="9"/>
        <v>6426.6</v>
      </c>
      <c r="H49" s="11"/>
    </row>
    <row r="50" s="1" customFormat="1" spans="1:8">
      <c r="A50" s="18">
        <v>25969</v>
      </c>
      <c r="B50" s="17">
        <v>16</v>
      </c>
      <c r="C50" s="17">
        <v>0</v>
      </c>
      <c r="D50" s="8">
        <f t="shared" si="6"/>
        <v>2</v>
      </c>
      <c r="E50" s="9">
        <f t="shared" si="7"/>
        <v>12200</v>
      </c>
      <c r="F50" s="9">
        <f t="shared" si="8"/>
        <v>0</v>
      </c>
      <c r="G50" s="9">
        <f t="shared" si="9"/>
        <v>12200</v>
      </c>
      <c r="H50" s="11"/>
    </row>
    <row r="51" s="1" customFormat="1" spans="1:8">
      <c r="A51" s="18"/>
      <c r="B51" s="17"/>
      <c r="C51" s="17"/>
      <c r="D51" s="8">
        <f t="shared" si="6"/>
        <v>0</v>
      </c>
      <c r="E51" s="9">
        <f t="shared" si="7"/>
        <v>0</v>
      </c>
      <c r="F51" s="9">
        <f t="shared" si="8"/>
        <v>0</v>
      </c>
      <c r="G51" s="9">
        <f t="shared" si="9"/>
        <v>0</v>
      </c>
      <c r="H51" s="11"/>
    </row>
    <row r="52" s="1" customFormat="1" spans="1:8">
      <c r="A52" s="18"/>
      <c r="B52" s="17"/>
      <c r="C52" s="17"/>
      <c r="D52" s="8">
        <f t="shared" si="6"/>
        <v>0</v>
      </c>
      <c r="E52" s="9">
        <f t="shared" si="7"/>
        <v>0</v>
      </c>
      <c r="F52" s="9">
        <f t="shared" si="8"/>
        <v>0</v>
      </c>
      <c r="G52" s="9">
        <f t="shared" si="9"/>
        <v>0</v>
      </c>
      <c r="H52" s="25"/>
    </row>
    <row r="53" s="1" customFormat="1" spans="1:8">
      <c r="A53" s="18"/>
      <c r="B53" s="17"/>
      <c r="C53" s="17"/>
      <c r="D53" s="12">
        <f t="shared" si="6"/>
        <v>0</v>
      </c>
      <c r="E53" s="9">
        <f t="shared" si="7"/>
        <v>0</v>
      </c>
      <c r="F53" s="9">
        <f t="shared" si="8"/>
        <v>0</v>
      </c>
      <c r="G53" s="9">
        <f t="shared" si="9"/>
        <v>0</v>
      </c>
      <c r="H53" s="25"/>
    </row>
    <row r="54" s="1" customFormat="1" spans="1:8">
      <c r="A54" s="18"/>
      <c r="B54" s="17"/>
      <c r="C54" s="17"/>
      <c r="D54" s="12">
        <f t="shared" si="6"/>
        <v>0</v>
      </c>
      <c r="E54" s="9">
        <f t="shared" si="7"/>
        <v>0</v>
      </c>
      <c r="F54" s="9">
        <f t="shared" si="8"/>
        <v>0</v>
      </c>
      <c r="G54" s="9">
        <f t="shared" si="9"/>
        <v>0</v>
      </c>
      <c r="H54" s="25"/>
    </row>
    <row r="55" s="1" customFormat="1" spans="1:8">
      <c r="A55" s="26"/>
      <c r="B55" s="17"/>
      <c r="C55" s="17"/>
      <c r="D55" s="12">
        <f t="shared" si="6"/>
        <v>0</v>
      </c>
      <c r="E55" s="9">
        <f t="shared" si="7"/>
        <v>0</v>
      </c>
      <c r="F55" s="9">
        <f t="shared" si="8"/>
        <v>0</v>
      </c>
      <c r="G55" s="9">
        <f t="shared" si="9"/>
        <v>0</v>
      </c>
      <c r="H55" s="25"/>
    </row>
    <row r="56" s="1" customFormat="1" spans="1:8">
      <c r="A56" s="27"/>
      <c r="B56" s="17">
        <f t="shared" ref="B56:G56" si="10">SUM(B41:B55)</f>
        <v>208</v>
      </c>
      <c r="C56" s="17">
        <f t="shared" si="10"/>
        <v>31.71</v>
      </c>
      <c r="D56" s="12">
        <f t="shared" si="10"/>
        <v>26</v>
      </c>
      <c r="E56" s="9">
        <f t="shared" si="10"/>
        <v>158600</v>
      </c>
      <c r="F56" s="9">
        <f t="shared" si="10"/>
        <v>14586.6</v>
      </c>
      <c r="G56" s="9">
        <f t="shared" si="10"/>
        <v>173186.6</v>
      </c>
      <c r="H56" s="27"/>
    </row>
    <row r="58" s="1" customFormat="1" spans="1:9">
      <c r="A58" s="2" t="s">
        <v>11</v>
      </c>
      <c r="B58" s="2"/>
      <c r="C58" s="2"/>
      <c r="D58" s="2"/>
      <c r="E58" s="2"/>
      <c r="F58" s="2"/>
      <c r="G58" s="2"/>
      <c r="H58" s="2"/>
      <c r="I58" s="1">
        <f>3900/8</f>
        <v>487.5</v>
      </c>
    </row>
    <row r="59" s="1" customFormat="1" spans="1:9">
      <c r="A59" s="20" t="s">
        <v>1</v>
      </c>
      <c r="B59" s="20" t="s">
        <v>2</v>
      </c>
      <c r="C59" s="20" t="s">
        <v>3</v>
      </c>
      <c r="D59" s="20" t="s">
        <v>12</v>
      </c>
      <c r="E59" s="21" t="s">
        <v>5</v>
      </c>
      <c r="F59" s="22" t="s">
        <v>6</v>
      </c>
      <c r="G59" s="22"/>
      <c r="H59" s="23"/>
      <c r="I59" s="1">
        <v>390</v>
      </c>
    </row>
    <row r="60" s="1" customFormat="1" spans="1:8">
      <c r="A60" s="17">
        <v>20240</v>
      </c>
      <c r="B60" s="17">
        <v>16</v>
      </c>
      <c r="C60" s="17">
        <v>0</v>
      </c>
      <c r="D60" s="8">
        <f t="shared" ref="D60:D72" si="11">B60/8</f>
        <v>2</v>
      </c>
      <c r="E60" s="9">
        <f>B60*I58</f>
        <v>7800</v>
      </c>
      <c r="F60" s="9">
        <f>C60*I59</f>
        <v>0</v>
      </c>
      <c r="G60" s="9">
        <f t="shared" ref="G60:G74" si="12">E60+F60</f>
        <v>7800</v>
      </c>
      <c r="H60" s="9"/>
    </row>
    <row r="61" s="1" customFormat="1" spans="1:8">
      <c r="A61" s="17">
        <v>23018</v>
      </c>
      <c r="B61" s="17">
        <v>8</v>
      </c>
      <c r="C61" s="17">
        <v>0</v>
      </c>
      <c r="D61" s="8">
        <f t="shared" si="11"/>
        <v>1</v>
      </c>
      <c r="E61" s="9">
        <f>B61*I58</f>
        <v>3900</v>
      </c>
      <c r="F61" s="9">
        <f>C61*I59</f>
        <v>0</v>
      </c>
      <c r="G61" s="9">
        <f t="shared" si="12"/>
        <v>3900</v>
      </c>
      <c r="H61" s="9"/>
    </row>
    <row r="62" s="1" customFormat="1" spans="1:8">
      <c r="A62" s="18">
        <v>23321</v>
      </c>
      <c r="B62" s="17">
        <v>32</v>
      </c>
      <c r="C62" s="17">
        <v>0</v>
      </c>
      <c r="D62" s="8">
        <f t="shared" si="11"/>
        <v>4</v>
      </c>
      <c r="E62" s="9">
        <f>B62*I58</f>
        <v>15600</v>
      </c>
      <c r="F62" s="9">
        <f>C62*I59</f>
        <v>0</v>
      </c>
      <c r="G62" s="9">
        <f t="shared" si="12"/>
        <v>15600</v>
      </c>
      <c r="H62" s="11"/>
    </row>
    <row r="63" s="1" customFormat="1" spans="1:8">
      <c r="A63" s="18">
        <v>25121</v>
      </c>
      <c r="B63" s="17">
        <v>8</v>
      </c>
      <c r="C63" s="17">
        <v>0</v>
      </c>
      <c r="D63" s="8">
        <f t="shared" si="11"/>
        <v>1</v>
      </c>
      <c r="E63" s="9">
        <f>B63*I58</f>
        <v>3900</v>
      </c>
      <c r="F63" s="9">
        <f>C63*I59</f>
        <v>0</v>
      </c>
      <c r="G63" s="9">
        <f t="shared" si="12"/>
        <v>3900</v>
      </c>
      <c r="H63" s="11"/>
    </row>
    <row r="64" s="1" customFormat="1" spans="1:8">
      <c r="A64" s="18">
        <v>25122</v>
      </c>
      <c r="B64" s="17">
        <v>8</v>
      </c>
      <c r="C64" s="17">
        <v>0</v>
      </c>
      <c r="D64" s="8">
        <f t="shared" si="11"/>
        <v>1</v>
      </c>
      <c r="E64" s="9">
        <f>B64*I58</f>
        <v>3900</v>
      </c>
      <c r="F64" s="9">
        <f>C64*I59</f>
        <v>0</v>
      </c>
      <c r="G64" s="9">
        <f t="shared" si="12"/>
        <v>3900</v>
      </c>
      <c r="H64" s="11"/>
    </row>
    <row r="65" s="1" customFormat="1" spans="1:8">
      <c r="A65" s="18">
        <v>25223</v>
      </c>
      <c r="B65" s="17">
        <v>16</v>
      </c>
      <c r="C65" s="17">
        <v>0</v>
      </c>
      <c r="D65" s="8">
        <f t="shared" si="11"/>
        <v>2</v>
      </c>
      <c r="E65" s="9">
        <f>B65*I58</f>
        <v>7800</v>
      </c>
      <c r="F65" s="9">
        <f>C65*I59</f>
        <v>0</v>
      </c>
      <c r="G65" s="9">
        <f t="shared" si="12"/>
        <v>7800</v>
      </c>
      <c r="H65" s="11"/>
    </row>
    <row r="66" s="1" customFormat="1" spans="1:8">
      <c r="A66" s="18">
        <v>25320</v>
      </c>
      <c r="B66" s="17">
        <v>31</v>
      </c>
      <c r="C66" s="17">
        <v>0</v>
      </c>
      <c r="D66" s="12">
        <f t="shared" si="11"/>
        <v>3.875</v>
      </c>
      <c r="E66" s="9">
        <f>B66*I58</f>
        <v>15112.5</v>
      </c>
      <c r="F66" s="9">
        <f>C66*I59</f>
        <v>0</v>
      </c>
      <c r="G66" s="9">
        <f t="shared" si="12"/>
        <v>15112.5</v>
      </c>
      <c r="H66" s="11"/>
    </row>
    <row r="67" s="1" customFormat="1" spans="1:8">
      <c r="A67" s="18">
        <v>25325</v>
      </c>
      <c r="B67" s="17">
        <v>96</v>
      </c>
      <c r="C67" s="17">
        <v>0</v>
      </c>
      <c r="D67" s="8">
        <f t="shared" si="11"/>
        <v>12</v>
      </c>
      <c r="E67" s="9">
        <f>B67*I58</f>
        <v>46800</v>
      </c>
      <c r="F67" s="9">
        <f>C67*I59</f>
        <v>0</v>
      </c>
      <c r="G67" s="9">
        <f t="shared" si="12"/>
        <v>46800</v>
      </c>
      <c r="H67" s="11"/>
    </row>
    <row r="68" s="1" customFormat="1" spans="1:8">
      <c r="A68" s="18">
        <v>25934</v>
      </c>
      <c r="B68" s="17">
        <v>8</v>
      </c>
      <c r="C68" s="17">
        <v>0.75</v>
      </c>
      <c r="D68" s="8">
        <f t="shared" si="11"/>
        <v>1</v>
      </c>
      <c r="E68" s="9">
        <f>B68*I58</f>
        <v>3900</v>
      </c>
      <c r="F68" s="9">
        <f>C68*I59</f>
        <v>292.5</v>
      </c>
      <c r="G68" s="9">
        <f t="shared" si="12"/>
        <v>4192.5</v>
      </c>
      <c r="H68" s="11"/>
    </row>
    <row r="69" s="1" customFormat="1" spans="1:8">
      <c r="A69" s="18">
        <v>25966</v>
      </c>
      <c r="B69" s="17">
        <v>8</v>
      </c>
      <c r="C69" s="17">
        <v>0</v>
      </c>
      <c r="D69" s="8">
        <f t="shared" si="11"/>
        <v>1</v>
      </c>
      <c r="E69" s="9">
        <f>B69*I58</f>
        <v>3900</v>
      </c>
      <c r="F69" s="9">
        <f>C69*I59</f>
        <v>0</v>
      </c>
      <c r="G69" s="9">
        <f t="shared" si="12"/>
        <v>3900</v>
      </c>
      <c r="H69" s="11"/>
    </row>
    <row r="70" s="1" customFormat="1" spans="1:8">
      <c r="A70" s="18"/>
      <c r="B70" s="17"/>
      <c r="C70" s="17"/>
      <c r="D70" s="8">
        <f t="shared" si="11"/>
        <v>0</v>
      </c>
      <c r="E70" s="9">
        <f>B70*I58</f>
        <v>0</v>
      </c>
      <c r="F70" s="9">
        <f>C70*I59</f>
        <v>0</v>
      </c>
      <c r="G70" s="9">
        <f t="shared" si="12"/>
        <v>0</v>
      </c>
      <c r="H70" s="25"/>
    </row>
    <row r="71" s="1" customFormat="1" spans="1:8">
      <c r="A71" s="18"/>
      <c r="B71" s="17"/>
      <c r="C71" s="17"/>
      <c r="D71" s="8">
        <f t="shared" si="11"/>
        <v>0</v>
      </c>
      <c r="E71" s="9">
        <f>B71*I58</f>
        <v>0</v>
      </c>
      <c r="F71" s="9">
        <f>C71*I59</f>
        <v>0</v>
      </c>
      <c r="G71" s="9">
        <f t="shared" si="12"/>
        <v>0</v>
      </c>
      <c r="H71" s="25"/>
    </row>
    <row r="72" s="1" customFormat="1" spans="1:8">
      <c r="A72" s="18"/>
      <c r="B72" s="17"/>
      <c r="C72" s="17"/>
      <c r="D72" s="8">
        <f t="shared" si="11"/>
        <v>0</v>
      </c>
      <c r="E72" s="9">
        <f>B72*I58</f>
        <v>0</v>
      </c>
      <c r="F72" s="9">
        <f>C72*I59</f>
        <v>0</v>
      </c>
      <c r="G72" s="9">
        <f t="shared" si="12"/>
        <v>0</v>
      </c>
      <c r="H72" s="25"/>
    </row>
    <row r="73" s="1" customFormat="1" spans="1:8">
      <c r="A73" s="18"/>
      <c r="B73" s="17"/>
      <c r="C73" s="17"/>
      <c r="D73" s="8"/>
      <c r="E73" s="9">
        <f>B73*I58</f>
        <v>0</v>
      </c>
      <c r="F73" s="9">
        <f>C73*I59</f>
        <v>0</v>
      </c>
      <c r="G73" s="9">
        <f t="shared" si="12"/>
        <v>0</v>
      </c>
      <c r="H73" s="25"/>
    </row>
    <row r="74" s="1" customFormat="1" spans="1:8">
      <c r="A74" s="18"/>
      <c r="B74" s="17"/>
      <c r="C74" s="17"/>
      <c r="D74" s="8"/>
      <c r="E74" s="9">
        <f>B74*I58</f>
        <v>0</v>
      </c>
      <c r="F74" s="9">
        <f>C74*I59</f>
        <v>0</v>
      </c>
      <c r="G74" s="9">
        <f t="shared" si="12"/>
        <v>0</v>
      </c>
      <c r="H74" s="25"/>
    </row>
    <row r="75" s="1" customFormat="1" spans="1:8">
      <c r="A75" s="27"/>
      <c r="B75" s="17">
        <f t="shared" ref="B75:G75" si="13">SUBTOTAL(9,B60:B74)</f>
        <v>231</v>
      </c>
      <c r="C75" s="17">
        <f t="shared" si="13"/>
        <v>0.75</v>
      </c>
      <c r="D75" s="12">
        <f t="shared" si="13"/>
        <v>28.875</v>
      </c>
      <c r="E75" s="17">
        <f t="shared" si="13"/>
        <v>112612.5</v>
      </c>
      <c r="F75" s="17">
        <f t="shared" si="13"/>
        <v>292.5</v>
      </c>
      <c r="G75" s="9">
        <f t="shared" si="13"/>
        <v>112905</v>
      </c>
      <c r="H75" s="27"/>
    </row>
  </sheetData>
  <mergeCells count="4">
    <mergeCell ref="A2:H2"/>
    <mergeCell ref="A21:H21"/>
    <mergeCell ref="A39:H39"/>
    <mergeCell ref="A58:H5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alqam</dc:creator>
  <cp:lastModifiedBy>alqam</cp:lastModifiedBy>
  <dcterms:created xsi:type="dcterms:W3CDTF">2026-01-18T13:44:33Z</dcterms:created>
  <dcterms:modified xsi:type="dcterms:W3CDTF">2026-01-18T13:45:09Z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183AFFEBD2814AC3B125445F8CA745DD_11</vt:lpwstr>
  </property>
  <property fmtid="{D5CDD505-2E9C-101B-9397-08002B2CF9AE}" pid="3" name="KSOProductBuildVer">
    <vt:lpwstr>2057-12.2.0.23197</vt:lpwstr>
  </property>
</Properties>
</file>