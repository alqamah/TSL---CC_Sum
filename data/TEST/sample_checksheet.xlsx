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activeTab="2"/>
  </bookViews>
  <sheets>
    <sheet name="F15" sheetId="1" r:id="rId1"/>
    <sheet name="F20" sheetId="2" r:id="rId2"/>
    <sheet name="TR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<sst xmlns="http://schemas.openxmlformats.org/spreadsheetml/2006/main" count="69" uniqueCount="24">
  <si>
    <t xml:space="preserve">MOBILE CRANE/ POWER ACCESS BILLING SUMMARY SHEET </t>
  </si>
  <si>
    <t>DOC. NO:- FMM/INFRA/MOBILE EQUIPMENT/BILL/SUMMARY SHEET/01                EFFECTIVE DATE:- 01.01.2026             REVISION:- 00</t>
  </si>
  <si>
    <t>MACHINE NAME:-   F-15                                 VENDOR NAME:-                        SWASTIK                  WORK ORDER No.:-      123S214S                                       BILLING MONTH:-DEC</t>
  </si>
  <si>
    <t>DATE</t>
  </si>
  <si>
    <t>LOGSHEET NO.</t>
  </si>
  <si>
    <t>SHIFT QTY.</t>
  </si>
  <si>
    <t>OT QTY.</t>
  </si>
  <si>
    <t>BREAKDOWN HOUR</t>
  </si>
  <si>
    <t>REASON FOR BREAKDOWN</t>
  </si>
  <si>
    <t>HMR START</t>
  </si>
  <si>
    <t>HMR END</t>
  </si>
  <si>
    <t>UTILIZATION</t>
  </si>
  <si>
    <t>Cost Center</t>
  </si>
  <si>
    <t>REMARKS</t>
  </si>
  <si>
    <t>TOTAL HOURS</t>
  </si>
  <si>
    <t>TOTAL SHIFT/MONTH</t>
  </si>
  <si>
    <t>TOTAL PAYABLE AMOUNT</t>
  </si>
  <si>
    <t xml:space="preserve">PENALTY REMARKS (IF ANY) :- 
</t>
  </si>
  <si>
    <t xml:space="preserve">Total breakdown hours applicable for penalty:-  B/D Hrs: = </t>
  </si>
  <si>
    <t>Penality amount/hour (As per PO)</t>
  </si>
  <si>
    <t>₹</t>
  </si>
  <si>
    <t>Total penalty amount to be applied based on the BD hours or KPI score obtained</t>
  </si>
  <si>
    <t>MACHINE NAME:-   F-20                                 VENDOR NAME:-                        SWASTIK                  WORK ORDER No.:-      123S214S                                       BILLING MONTH:-DEC</t>
  </si>
  <si>
    <t>MACHINE NAME:-   TRX-23                                 VENDOR NAME:-                        SWASTIK                  WORK ORDER No.:-      123S214S                                       BILLING MONTH:-DEC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</si>
</sst>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39]* #,##0.00_ ;_ [$₹-439]* \-#,##0.00_ ;_ [$₹-439]* &quot;-&quot;??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b/>
      <sz val="11"/>
      <color rgb="FF000000"/>
      <name val="Calibri"/>
      <charset val="134"/>
    </font>
    <font>
      <b/>
      <u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32" applyNumberFormat="0" applyAlignment="0" applyProtection="0">
      <alignment vertical="center"/>
    </xf>
    <xf numFmtId="0" fontId="18" fillId="10" borderId="33" applyNumberFormat="0" applyAlignment="0" applyProtection="0">
      <alignment vertical="center"/>
    </xf>
    <xf numFmtId="0" fontId="19" fillId="10" borderId="32" applyNumberFormat="0" applyAlignment="0" applyProtection="0">
      <alignment vertical="center"/>
    </xf>
    <xf numFmtId="0" fontId="20" fillId="11" borderId="34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0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" fontId="2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0" fillId="0" borderId="0" xfId="0" applyFont="1" applyFill="1" applyBorder="1" applyAlignment="1"/>
    <xf numFmtId="0" fontId="3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2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left" vertical="top"/>
    </xf>
    <xf numFmtId="0" fontId="8" fillId="6" borderId="13" xfId="0" applyFont="1" applyFill="1" applyBorder="1" applyAlignment="1">
      <alignment horizontal="left" vertical="top"/>
    </xf>
    <xf numFmtId="0" fontId="4" fillId="6" borderId="14" xfId="0" applyFont="1" applyFill="1" applyBorder="1" applyAlignment="1">
      <alignment horizontal="left" vertical="center"/>
    </xf>
    <xf numFmtId="0" fontId="4" fillId="6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vertical="top"/>
    </xf>
    <xf numFmtId="0" fontId="3" fillId="6" borderId="17" xfId="0" applyFont="1" applyFill="1" applyBorder="1" applyAlignment="1">
      <alignment horizontal="right" vertical="top"/>
    </xf>
    <xf numFmtId="0" fontId="3" fillId="6" borderId="18" xfId="0" applyFont="1" applyFill="1" applyBorder="1" applyAlignment="1">
      <alignment horizontal="right" vertical="top"/>
    </xf>
    <xf numFmtId="0" fontId="3" fillId="6" borderId="19" xfId="0" applyFont="1" applyFill="1" applyBorder="1" applyAlignment="1">
      <alignment horizontal="right" vertical="top"/>
    </xf>
    <xf numFmtId="0" fontId="3" fillId="6" borderId="1" xfId="0" applyFont="1" applyFill="1" applyBorder="1" applyAlignment="1">
      <alignment horizontal="left" vertical="top"/>
    </xf>
    <xf numFmtId="0" fontId="3" fillId="6" borderId="14" xfId="0" applyFont="1" applyFill="1" applyBorder="1" applyAlignment="1">
      <alignment horizontal="left" vertical="top"/>
    </xf>
    <xf numFmtId="0" fontId="3" fillId="6" borderId="20" xfId="0" applyFont="1" applyFill="1" applyBorder="1" applyAlignment="1">
      <alignment horizontal="left" vertical="top"/>
    </xf>
    <xf numFmtId="0" fontId="3" fillId="5" borderId="21" xfId="0" applyFont="1" applyFill="1" applyBorder="1" applyAlignment="1">
      <alignment horizontal="left" vertical="top"/>
    </xf>
    <xf numFmtId="0" fontId="3" fillId="5" borderId="22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0" fontId="0" fillId="0" borderId="2" xfId="0" applyFont="1" applyFill="1" applyBorder="1" applyAlignment="1"/>
    <xf numFmtId="0" fontId="0" fillId="0" borderId="4" xfId="0" applyFont="1" applyFill="1" applyBorder="1" applyAlignment="1"/>
    <xf numFmtId="0" fontId="0" fillId="4" borderId="24" xfId="0" applyFont="1" applyFill="1" applyBorder="1" applyAlignment="1">
      <alignment horizontal="center"/>
    </xf>
    <xf numFmtId="0" fontId="0" fillId="0" borderId="0" xfId="0" applyFont="1" applyFill="1" applyAlignment="1"/>
    <xf numFmtId="0" fontId="0" fillId="4" borderId="25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left" vertical="top"/>
    </xf>
    <xf numFmtId="180" fontId="4" fillId="5" borderId="27" xfId="0" applyNumberFormat="1" applyFont="1" applyFill="1" applyBorder="1" applyAlignment="1">
      <alignment vertical="top"/>
    </xf>
    <xf numFmtId="0" fontId="3" fillId="5" borderId="28" xfId="0" applyFont="1" applyFill="1" applyBorder="1" applyAlignment="1">
      <alignment horizontal="left" vertical="top"/>
    </xf>
    <xf numFmtId="0" fontId="0" fillId="7" borderId="23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F16" sqref="F16"/>
    </sheetView>
  </sheetViews>
  <sheetFormatPr defaultColWidth="8.79279279279279" defaultRowHeight="14.4"/>
  <cols>
    <col min="1" max="1" width="5.3963963963964" style="1" customWidth="1"/>
    <col min="2" max="2" width="12.7837837837838" style="1" customWidth="1"/>
    <col min="3" max="3" width="9.48648648648649" style="1" customWidth="1"/>
    <col min="4" max="4" width="7.38738738738739" style="1" customWidth="1"/>
    <col min="5" max="5" width="17.1711711711712" style="1" customWidth="1"/>
    <col min="6" max="6" width="22.972972972973" style="1" customWidth="1"/>
    <col min="7" max="7" width="11.5765765765766" style="1" customWidth="1"/>
    <col min="8" max="8" width="9.77477477477477" style="1" customWidth="1"/>
    <col min="9" max="9" width="12.3693693693694" style="1" customWidth="1"/>
    <col min="10" max="10" width="11.5945945945946" style="1" customWidth="1"/>
    <col min="11" max="11" width="9.68468468468468" style="1" customWidth="1"/>
  </cols>
  <sheetData>
    <row r="1" ht="18.2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spans="1:11">
      <c r="A5" s="7">
        <v>1</v>
      </c>
      <c r="B5" s="8">
        <v>200012</v>
      </c>
      <c r="C5" s="9">
        <v>40</v>
      </c>
      <c r="D5" s="9">
        <v>2</v>
      </c>
      <c r="E5" s="10">
        <v>5</v>
      </c>
      <c r="F5" s="11"/>
      <c r="G5" s="12"/>
      <c r="H5" s="12"/>
      <c r="I5" s="12"/>
      <c r="J5" s="9">
        <v>20113</v>
      </c>
      <c r="K5" s="12"/>
    </row>
    <row r="6" spans="1:11">
      <c r="A6" s="7">
        <v>2</v>
      </c>
      <c r="B6" s="8">
        <v>200013</v>
      </c>
      <c r="C6" s="9">
        <v>8</v>
      </c>
      <c r="D6" s="9">
        <v>0</v>
      </c>
      <c r="E6" s="10">
        <v>0</v>
      </c>
      <c r="F6" s="11"/>
      <c r="G6" s="12"/>
      <c r="H6" s="12"/>
      <c r="I6" s="12"/>
      <c r="J6" s="61">
        <v>20140</v>
      </c>
      <c r="K6" s="12"/>
    </row>
    <row r="7" spans="1:11">
      <c r="A7" s="7">
        <v>3</v>
      </c>
      <c r="B7" s="8">
        <v>200014</v>
      </c>
      <c r="C7" s="9">
        <v>8</v>
      </c>
      <c r="D7" s="9">
        <v>0</v>
      </c>
      <c r="E7" s="10">
        <v>0</v>
      </c>
      <c r="F7" s="11"/>
      <c r="G7" s="12"/>
      <c r="H7" s="12"/>
      <c r="I7" s="12"/>
      <c r="J7" s="61">
        <v>23018</v>
      </c>
      <c r="K7" s="12"/>
    </row>
    <row r="8" spans="1:11">
      <c r="A8" s="7">
        <v>4</v>
      </c>
      <c r="B8" s="8">
        <v>200015</v>
      </c>
      <c r="C8" s="9">
        <v>16</v>
      </c>
      <c r="D8" s="9">
        <v>0</v>
      </c>
      <c r="E8" s="10">
        <v>0</v>
      </c>
      <c r="F8" s="11"/>
      <c r="G8" s="12"/>
      <c r="H8" s="12"/>
      <c r="I8" s="12"/>
      <c r="J8" s="61">
        <v>23130</v>
      </c>
      <c r="K8" s="12"/>
    </row>
    <row r="9" spans="1:11">
      <c r="A9" s="7">
        <v>5</v>
      </c>
      <c r="B9" s="8">
        <v>200016</v>
      </c>
      <c r="C9" s="9">
        <v>15.25</v>
      </c>
      <c r="D9" s="9">
        <v>2</v>
      </c>
      <c r="E9" s="10">
        <v>0</v>
      </c>
      <c r="F9" s="11"/>
      <c r="G9" s="12"/>
      <c r="H9" s="12"/>
      <c r="I9" s="12"/>
      <c r="J9" s="61">
        <v>23321</v>
      </c>
      <c r="K9" s="12"/>
    </row>
    <row r="10" spans="1:11">
      <c r="A10" s="7">
        <v>6</v>
      </c>
      <c r="B10" s="8">
        <v>200017</v>
      </c>
      <c r="C10" s="9">
        <v>7</v>
      </c>
      <c r="D10" s="9">
        <v>0</v>
      </c>
      <c r="E10" s="10">
        <v>0</v>
      </c>
      <c r="F10" s="11"/>
      <c r="G10" s="12"/>
      <c r="H10" s="12"/>
      <c r="I10" s="12"/>
      <c r="J10" s="61">
        <v>25122</v>
      </c>
      <c r="K10" s="12"/>
    </row>
    <row r="11" spans="1:11">
      <c r="A11" s="7">
        <v>7</v>
      </c>
      <c r="B11" s="8">
        <v>200018</v>
      </c>
      <c r="C11" s="9">
        <v>8</v>
      </c>
      <c r="D11" s="9">
        <v>0</v>
      </c>
      <c r="E11" s="10">
        <v>0</v>
      </c>
      <c r="F11" s="11"/>
      <c r="G11" s="12"/>
      <c r="H11" s="12"/>
      <c r="I11" s="12"/>
      <c r="J11" s="61">
        <v>25124</v>
      </c>
      <c r="K11" s="12"/>
    </row>
    <row r="12" spans="1:11">
      <c r="A12" s="7">
        <v>8</v>
      </c>
      <c r="B12" s="8">
        <v>200019</v>
      </c>
      <c r="C12" s="9">
        <v>8</v>
      </c>
      <c r="D12" s="9">
        <v>0</v>
      </c>
      <c r="E12" s="10">
        <v>0</v>
      </c>
      <c r="F12" s="11"/>
      <c r="G12" s="12"/>
      <c r="H12" s="12"/>
      <c r="I12" s="12"/>
      <c r="J12" s="61">
        <v>25225</v>
      </c>
      <c r="K12" s="12"/>
    </row>
    <row r="13" spans="1:11">
      <c r="A13" s="7">
        <v>9</v>
      </c>
      <c r="B13" s="8">
        <v>200020</v>
      </c>
      <c r="C13" s="9">
        <v>16</v>
      </c>
      <c r="D13" s="9">
        <v>0</v>
      </c>
      <c r="E13" s="10">
        <v>0</v>
      </c>
      <c r="F13" s="11"/>
      <c r="G13" s="12"/>
      <c r="H13" s="12"/>
      <c r="I13" s="12"/>
      <c r="J13" s="61">
        <v>25231</v>
      </c>
      <c r="K13" s="12"/>
    </row>
    <row r="14" spans="1:11">
      <c r="A14" s="7">
        <v>10</v>
      </c>
      <c r="B14" s="8">
        <v>200021</v>
      </c>
      <c r="C14" s="9">
        <v>24</v>
      </c>
      <c r="D14" s="9">
        <v>4.5</v>
      </c>
      <c r="E14" s="10">
        <v>0</v>
      </c>
      <c r="F14" s="11"/>
      <c r="G14" s="12"/>
      <c r="H14" s="12"/>
      <c r="I14" s="12"/>
      <c r="J14" s="61">
        <v>25522</v>
      </c>
      <c r="K14" s="12"/>
    </row>
    <row r="15" spans="1:11">
      <c r="A15" s="7">
        <v>11</v>
      </c>
      <c r="B15" s="8">
        <v>200022</v>
      </c>
      <c r="C15" s="9">
        <v>8</v>
      </c>
      <c r="D15" s="9">
        <v>0</v>
      </c>
      <c r="E15" s="10">
        <v>0</v>
      </c>
      <c r="F15" s="11"/>
      <c r="G15" s="12"/>
      <c r="H15" s="12"/>
      <c r="I15" s="12"/>
      <c r="J15" s="61">
        <v>25731</v>
      </c>
      <c r="K15" s="12"/>
    </row>
    <row r="16" spans="1:11">
      <c r="A16" s="7">
        <v>12</v>
      </c>
      <c r="B16" s="8">
        <v>200023</v>
      </c>
      <c r="C16" s="9">
        <v>8</v>
      </c>
      <c r="D16" s="9">
        <v>0</v>
      </c>
      <c r="E16" s="10">
        <v>0</v>
      </c>
      <c r="F16" s="11"/>
      <c r="G16" s="12"/>
      <c r="H16" s="12"/>
      <c r="I16" s="12"/>
      <c r="J16" s="61">
        <v>25820</v>
      </c>
      <c r="K16" s="12"/>
    </row>
    <row r="17" spans="1:11">
      <c r="A17" s="7">
        <v>13</v>
      </c>
      <c r="B17" s="8">
        <v>200024</v>
      </c>
      <c r="C17" s="9">
        <v>8</v>
      </c>
      <c r="D17" s="9">
        <v>0</v>
      </c>
      <c r="E17" s="10">
        <v>0</v>
      </c>
      <c r="F17" s="11"/>
      <c r="G17" s="12"/>
      <c r="H17" s="12"/>
      <c r="I17" s="12"/>
      <c r="J17" s="61">
        <v>25965</v>
      </c>
      <c r="K17" s="12"/>
    </row>
    <row r="18" spans="1:11">
      <c r="A18" s="7">
        <v>14</v>
      </c>
      <c r="B18" s="8">
        <v>200025</v>
      </c>
      <c r="C18" s="13">
        <v>40</v>
      </c>
      <c r="D18" s="9">
        <v>0</v>
      </c>
      <c r="E18" s="10">
        <v>0</v>
      </c>
      <c r="F18" s="11"/>
      <c r="G18" s="12"/>
      <c r="H18" s="12"/>
      <c r="I18" s="12"/>
      <c r="J18" s="9">
        <v>25969</v>
      </c>
      <c r="K18" s="12"/>
    </row>
    <row r="19" spans="1:11">
      <c r="A19" s="7">
        <v>15</v>
      </c>
      <c r="B19" s="14"/>
      <c r="C19" s="8"/>
      <c r="D19" s="8"/>
      <c r="E19" s="10"/>
      <c r="F19" s="15"/>
      <c r="G19" s="12"/>
      <c r="H19" s="12"/>
      <c r="I19" s="12"/>
      <c r="J19" s="12"/>
      <c r="K19" s="12"/>
    </row>
    <row r="20" spans="1:11">
      <c r="A20" s="7">
        <v>16</v>
      </c>
      <c r="B20" s="14"/>
      <c r="C20" s="8"/>
      <c r="D20" s="8"/>
      <c r="E20" s="10"/>
      <c r="F20" s="15"/>
      <c r="G20" s="12"/>
      <c r="H20" s="12"/>
      <c r="I20" s="12"/>
      <c r="J20" s="12"/>
      <c r="K20" s="12"/>
    </row>
    <row r="21" spans="1:11">
      <c r="A21" s="7">
        <v>17</v>
      </c>
      <c r="B21" s="14"/>
      <c r="C21" s="8"/>
      <c r="D21" s="8"/>
      <c r="E21" s="10"/>
      <c r="F21" s="15"/>
      <c r="G21" s="12"/>
      <c r="H21" s="12"/>
      <c r="I21" s="12"/>
      <c r="J21" s="12"/>
      <c r="K21" s="12"/>
    </row>
    <row r="22" spans="1:11">
      <c r="A22" s="7">
        <v>18</v>
      </c>
      <c r="B22" s="14"/>
      <c r="C22" s="8"/>
      <c r="D22" s="8"/>
      <c r="E22" s="10"/>
      <c r="F22" s="15"/>
      <c r="G22" s="12"/>
      <c r="H22" s="12"/>
      <c r="I22" s="12"/>
      <c r="J22" s="12"/>
      <c r="K22" s="12"/>
    </row>
    <row r="23" spans="1:11">
      <c r="A23" s="7">
        <v>19</v>
      </c>
      <c r="B23" s="14"/>
      <c r="C23" s="8"/>
      <c r="D23" s="8"/>
      <c r="E23" s="10"/>
      <c r="F23" s="15"/>
      <c r="G23" s="12"/>
      <c r="H23" s="12"/>
      <c r="I23" s="12"/>
      <c r="J23" s="12"/>
      <c r="K23" s="12"/>
    </row>
    <row r="24" spans="1:11">
      <c r="A24" s="7">
        <v>20</v>
      </c>
      <c r="B24" s="14"/>
      <c r="C24" s="8"/>
      <c r="D24" s="8"/>
      <c r="E24" s="10"/>
      <c r="F24" s="15"/>
      <c r="G24" s="12"/>
      <c r="H24" s="12"/>
      <c r="I24" s="12"/>
      <c r="J24" s="12"/>
      <c r="K24" s="12"/>
    </row>
    <row r="25" spans="1:11">
      <c r="A25" s="7">
        <v>21</v>
      </c>
      <c r="B25" s="14"/>
      <c r="C25" s="8"/>
      <c r="D25" s="8"/>
      <c r="E25" s="10"/>
      <c r="F25" s="15"/>
      <c r="G25" s="12"/>
      <c r="H25" s="12"/>
      <c r="I25" s="12"/>
      <c r="J25" s="12"/>
      <c r="K25" s="12"/>
    </row>
    <row r="26" spans="1:11">
      <c r="A26" s="7">
        <v>22</v>
      </c>
      <c r="B26" s="14"/>
      <c r="C26" s="8"/>
      <c r="D26" s="8"/>
      <c r="E26" s="10"/>
      <c r="F26" s="15"/>
      <c r="G26" s="12"/>
      <c r="H26" s="12"/>
      <c r="I26" s="12"/>
      <c r="J26" s="12"/>
      <c r="K26" s="12"/>
    </row>
    <row r="27" spans="1:11">
      <c r="A27" s="7">
        <v>23</v>
      </c>
      <c r="B27" s="14"/>
      <c r="C27" s="8"/>
      <c r="D27" s="8"/>
      <c r="E27" s="10"/>
      <c r="F27" s="15"/>
      <c r="G27" s="12"/>
      <c r="H27" s="12"/>
      <c r="I27" s="12"/>
      <c r="J27" s="12"/>
      <c r="K27" s="12"/>
    </row>
    <row r="28" spans="1:11">
      <c r="A28" s="7">
        <v>24</v>
      </c>
      <c r="B28" s="14"/>
      <c r="C28" s="8"/>
      <c r="D28" s="8"/>
      <c r="E28" s="10"/>
      <c r="F28" s="15"/>
      <c r="G28" s="12"/>
      <c r="H28" s="12"/>
      <c r="I28" s="12"/>
      <c r="J28" s="12"/>
      <c r="K28" s="12"/>
    </row>
    <row r="29" spans="1:11">
      <c r="A29" s="7">
        <v>25</v>
      </c>
      <c r="B29" s="14"/>
      <c r="C29" s="8"/>
      <c r="D29" s="8"/>
      <c r="E29" s="10"/>
      <c r="F29" s="15"/>
      <c r="G29" s="12"/>
      <c r="H29" s="12"/>
      <c r="I29" s="12"/>
      <c r="J29" s="12"/>
      <c r="K29" s="12"/>
    </row>
    <row r="30" spans="1:11">
      <c r="A30" s="7">
        <v>26</v>
      </c>
      <c r="B30" s="14"/>
      <c r="C30" s="8"/>
      <c r="D30" s="8"/>
      <c r="E30" s="10"/>
      <c r="F30" s="15"/>
      <c r="G30" s="12"/>
      <c r="H30" s="12"/>
      <c r="I30" s="12"/>
      <c r="J30" s="12"/>
      <c r="K30" s="12"/>
    </row>
    <row r="31" spans="1:11">
      <c r="A31" s="7">
        <v>27</v>
      </c>
      <c r="B31" s="14"/>
      <c r="C31" s="8"/>
      <c r="D31" s="8"/>
      <c r="E31" s="10"/>
      <c r="F31" s="15"/>
      <c r="G31" s="12"/>
      <c r="H31" s="12"/>
      <c r="I31" s="12"/>
      <c r="J31" s="12"/>
      <c r="K31" s="12"/>
    </row>
    <row r="32" spans="1:11">
      <c r="A32" s="7">
        <v>28</v>
      </c>
      <c r="B32" s="14"/>
      <c r="C32" s="8"/>
      <c r="D32" s="8"/>
      <c r="E32" s="10"/>
      <c r="F32" s="15"/>
      <c r="G32" s="12"/>
      <c r="H32" s="12"/>
      <c r="I32" s="12"/>
      <c r="J32" s="12"/>
      <c r="K32" s="12"/>
    </row>
    <row r="33" spans="1:11">
      <c r="A33" s="7">
        <v>29</v>
      </c>
      <c r="B33" s="14"/>
      <c r="C33" s="8"/>
      <c r="D33" s="8"/>
      <c r="E33" s="10"/>
      <c r="F33" s="15"/>
      <c r="G33" s="12"/>
      <c r="H33" s="12"/>
      <c r="I33" s="12"/>
      <c r="J33" s="12"/>
      <c r="K33" s="12"/>
    </row>
    <row r="34" spans="1:11">
      <c r="A34" s="7">
        <v>30</v>
      </c>
      <c r="B34" s="14"/>
      <c r="C34" s="8"/>
      <c r="D34" s="8"/>
      <c r="E34" s="10"/>
      <c r="F34" s="15"/>
      <c r="G34" s="12"/>
      <c r="H34" s="12"/>
      <c r="I34" s="12"/>
      <c r="J34" s="12"/>
      <c r="K34" s="12"/>
    </row>
    <row r="35" ht="15.15" spans="1:11">
      <c r="A35" s="16">
        <v>31</v>
      </c>
      <c r="B35" s="17"/>
      <c r="C35" s="18"/>
      <c r="D35" s="18"/>
      <c r="E35" s="19"/>
      <c r="F35" s="15"/>
      <c r="G35" s="12"/>
      <c r="H35" s="12"/>
      <c r="I35" s="53"/>
      <c r="J35" s="12"/>
      <c r="K35" s="12"/>
    </row>
    <row r="36" spans="1:11">
      <c r="A36" s="20" t="s">
        <v>14</v>
      </c>
      <c r="B36" s="21"/>
      <c r="C36" s="22">
        <f>SUM(C5:C35)</f>
        <v>214.25</v>
      </c>
      <c r="D36" s="23">
        <f>SUM(D5:D35)</f>
        <v>8.5</v>
      </c>
      <c r="E36" s="24">
        <f>SUM(E5:E35)</f>
        <v>5</v>
      </c>
      <c r="F36" s="25"/>
      <c r="G36" s="26"/>
      <c r="H36" s="26"/>
      <c r="I36" s="54"/>
      <c r="J36" s="55"/>
      <c r="K36" s="55"/>
    </row>
    <row r="37" ht="15.15" spans="1:11">
      <c r="A37" s="27" t="s">
        <v>15</v>
      </c>
      <c r="B37" s="28"/>
      <c r="C37" s="29">
        <f>C36/8</f>
        <v>26.78125</v>
      </c>
      <c r="D37" s="30"/>
      <c r="E37" s="31"/>
      <c r="F37" s="25"/>
      <c r="G37" s="26"/>
      <c r="H37" s="26"/>
      <c r="I37" s="56"/>
      <c r="J37" s="55"/>
      <c r="K37" s="55"/>
    </row>
    <row r="38" ht="15.15" spans="1:11">
      <c r="A38" s="32" t="s">
        <v>16</v>
      </c>
      <c r="B38" s="33"/>
      <c r="C38" s="34"/>
      <c r="D38" s="35"/>
      <c r="E38" s="36">
        <f>C38+D38</f>
        <v>0</v>
      </c>
      <c r="F38" s="25"/>
      <c r="G38" s="26"/>
      <c r="H38" s="26"/>
      <c r="I38" s="26"/>
      <c r="J38" s="26"/>
      <c r="K38" s="55"/>
    </row>
    <row r="39" ht="15.15" spans="1:11">
      <c r="A39" s="37" t="s">
        <v>17</v>
      </c>
      <c r="B39" s="38"/>
      <c r="C39" s="38"/>
      <c r="D39" s="38"/>
      <c r="E39" s="38"/>
      <c r="F39" s="38"/>
      <c r="G39" s="38"/>
      <c r="H39" s="38"/>
      <c r="I39" s="57"/>
      <c r="J39" s="55"/>
      <c r="K39" s="55"/>
    </row>
    <row r="40" ht="15.15" spans="1:11">
      <c r="A40" s="39" t="s">
        <v>18</v>
      </c>
      <c r="B40" s="39"/>
      <c r="C40" s="39"/>
      <c r="D40" s="40"/>
      <c r="E40" s="41"/>
      <c r="F40" s="42" t="s">
        <v>19</v>
      </c>
      <c r="G40" s="43"/>
      <c r="H40" s="44"/>
      <c r="I40" s="58" t="s">
        <v>20</v>
      </c>
      <c r="J40" s="55"/>
      <c r="K40" s="55"/>
    </row>
    <row r="41" ht="15.15" spans="1:11">
      <c r="A41" s="45" t="s">
        <v>21</v>
      </c>
      <c r="B41" s="45"/>
      <c r="C41" s="45"/>
      <c r="D41" s="45"/>
      <c r="E41" s="46"/>
      <c r="F41" s="47"/>
      <c r="G41" s="48" t="s">
        <v>20</v>
      </c>
      <c r="H41" s="49"/>
      <c r="I41" s="59"/>
      <c r="J41" s="55"/>
      <c r="K41" s="55"/>
    </row>
  </sheetData>
  <mergeCells count="15">
    <mergeCell ref="A1:K1"/>
    <mergeCell ref="A2:K2"/>
    <mergeCell ref="A3:K3"/>
    <mergeCell ref="A36:B36"/>
    <mergeCell ref="A37:B37"/>
    <mergeCell ref="A38:B38"/>
    <mergeCell ref="A39:I39"/>
    <mergeCell ref="A40:D40"/>
    <mergeCell ref="F40:H40"/>
    <mergeCell ref="A41:F41"/>
    <mergeCell ref="G41:I41"/>
    <mergeCell ref="D36:D37"/>
    <mergeCell ref="E36:E37"/>
    <mergeCell ref="F36:F37"/>
    <mergeCell ref="I36:I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F19" sqref="F19"/>
    </sheetView>
  </sheetViews>
  <sheetFormatPr defaultColWidth="8.79279279279279" defaultRowHeight="14.4"/>
  <cols>
    <col min="1" max="1" width="5.3963963963964" style="1" customWidth="1"/>
    <col min="2" max="2" width="12.7837837837838" style="1" customWidth="1"/>
    <col min="3" max="3" width="9.48648648648649" style="1" customWidth="1"/>
    <col min="4" max="4" width="7.38738738738739" style="1" customWidth="1"/>
    <col min="5" max="5" width="17.1711711711712" style="1" customWidth="1"/>
    <col min="6" max="6" width="22.972972972973" style="1" customWidth="1"/>
    <col min="7" max="7" width="11.5765765765766" style="1" customWidth="1"/>
    <col min="8" max="8" width="9.77477477477477" style="1" customWidth="1"/>
    <col min="9" max="9" width="12.3693693693694" style="1" customWidth="1"/>
    <col min="10" max="10" width="11.5945945945946" style="1" customWidth="1"/>
    <col min="11" max="11" width="9.68468468468468" style="1" customWidth="1"/>
  </cols>
  <sheetData>
    <row r="1" ht="18.2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spans="1:11">
      <c r="A5" s="7">
        <v>1</v>
      </c>
      <c r="B5" s="8">
        <v>200012</v>
      </c>
      <c r="C5" s="9">
        <v>8</v>
      </c>
      <c r="D5" s="9">
        <v>0</v>
      </c>
      <c r="E5" s="10">
        <v>0</v>
      </c>
      <c r="F5" s="11"/>
      <c r="G5" s="12"/>
      <c r="H5" s="12"/>
      <c r="I5" s="12"/>
      <c r="J5" s="51">
        <v>20140</v>
      </c>
      <c r="K5" s="12"/>
    </row>
    <row r="6" spans="1:11">
      <c r="A6" s="7">
        <v>2</v>
      </c>
      <c r="B6" s="8">
        <v>200013</v>
      </c>
      <c r="C6" s="9">
        <v>56</v>
      </c>
      <c r="D6" s="9">
        <v>2</v>
      </c>
      <c r="E6" s="10">
        <v>0</v>
      </c>
      <c r="F6" s="11"/>
      <c r="G6" s="12"/>
      <c r="H6" s="12"/>
      <c r="I6" s="12"/>
      <c r="J6" s="51">
        <v>20240</v>
      </c>
      <c r="K6" s="12"/>
    </row>
    <row r="7" spans="1:11">
      <c r="A7" s="7">
        <v>3</v>
      </c>
      <c r="B7" s="8">
        <v>200014</v>
      </c>
      <c r="C7" s="9">
        <v>8</v>
      </c>
      <c r="D7" s="9">
        <v>0</v>
      </c>
      <c r="E7" s="10">
        <v>0</v>
      </c>
      <c r="F7" s="11"/>
      <c r="G7" s="12"/>
      <c r="H7" s="12"/>
      <c r="I7" s="12"/>
      <c r="J7" s="51">
        <v>20260</v>
      </c>
      <c r="K7" s="12"/>
    </row>
    <row r="8" spans="1:11">
      <c r="A8" s="7">
        <v>4</v>
      </c>
      <c r="B8" s="8">
        <v>200015</v>
      </c>
      <c r="C8" s="9">
        <v>16</v>
      </c>
      <c r="D8" s="9">
        <v>27.5</v>
      </c>
      <c r="E8" s="10">
        <v>0</v>
      </c>
      <c r="F8" s="11"/>
      <c r="G8" s="12"/>
      <c r="H8" s="12"/>
      <c r="I8" s="12"/>
      <c r="J8" s="51">
        <v>23018</v>
      </c>
      <c r="K8" s="12"/>
    </row>
    <row r="9" spans="1:11">
      <c r="A9" s="7">
        <v>5</v>
      </c>
      <c r="B9" s="8">
        <v>200016</v>
      </c>
      <c r="C9" s="9">
        <v>8</v>
      </c>
      <c r="D9" s="9">
        <v>0</v>
      </c>
      <c r="E9" s="10">
        <v>0</v>
      </c>
      <c r="F9" s="11"/>
      <c r="G9" s="12"/>
      <c r="H9" s="12"/>
      <c r="I9" s="12"/>
      <c r="J9" s="51">
        <v>23321</v>
      </c>
      <c r="K9" s="12"/>
    </row>
    <row r="10" spans="1:11">
      <c r="A10" s="7">
        <v>6</v>
      </c>
      <c r="B10" s="8">
        <v>200017</v>
      </c>
      <c r="C10" s="9">
        <v>8</v>
      </c>
      <c r="D10" s="9">
        <v>1.5</v>
      </c>
      <c r="E10" s="10">
        <v>0</v>
      </c>
      <c r="F10" s="11"/>
      <c r="G10" s="12"/>
      <c r="H10" s="12"/>
      <c r="I10" s="12"/>
      <c r="J10" s="51">
        <v>25122</v>
      </c>
      <c r="K10" s="12"/>
    </row>
    <row r="11" spans="1:11">
      <c r="A11" s="7">
        <v>7</v>
      </c>
      <c r="B11" s="8">
        <v>200018</v>
      </c>
      <c r="C11" s="9">
        <v>72</v>
      </c>
      <c r="D11" s="9">
        <v>0</v>
      </c>
      <c r="E11" s="10">
        <v>0</v>
      </c>
      <c r="F11" s="11"/>
      <c r="G11" s="12"/>
      <c r="H11" s="12"/>
      <c r="I11" s="12"/>
      <c r="J11" s="51">
        <v>25231</v>
      </c>
      <c r="K11" s="12"/>
    </row>
    <row r="12" spans="1:11">
      <c r="A12" s="7">
        <v>8</v>
      </c>
      <c r="B12" s="8">
        <v>200019</v>
      </c>
      <c r="C12" s="9">
        <v>8</v>
      </c>
      <c r="D12" s="9">
        <v>0</v>
      </c>
      <c r="E12" s="10">
        <v>0</v>
      </c>
      <c r="F12" s="11"/>
      <c r="G12" s="12"/>
      <c r="H12" s="12"/>
      <c r="I12" s="12"/>
      <c r="J12" s="51">
        <v>25931</v>
      </c>
      <c r="K12" s="12"/>
    </row>
    <row r="13" spans="1:11">
      <c r="A13" s="7">
        <v>9</v>
      </c>
      <c r="B13" s="8">
        <v>200020</v>
      </c>
      <c r="C13" s="9">
        <v>8</v>
      </c>
      <c r="D13" s="9">
        <v>0.71</v>
      </c>
      <c r="E13" s="10">
        <v>0</v>
      </c>
      <c r="F13" s="11"/>
      <c r="G13" s="12"/>
      <c r="H13" s="12"/>
      <c r="I13" s="12"/>
      <c r="J13" s="51">
        <v>25965</v>
      </c>
      <c r="K13" s="12"/>
    </row>
    <row r="14" spans="1:11">
      <c r="A14" s="7">
        <v>10</v>
      </c>
      <c r="B14" s="8">
        <v>200021</v>
      </c>
      <c r="C14" s="9">
        <v>16</v>
      </c>
      <c r="D14" s="9">
        <v>0</v>
      </c>
      <c r="E14" s="10">
        <v>0</v>
      </c>
      <c r="F14" s="11"/>
      <c r="G14" s="12"/>
      <c r="H14" s="12"/>
      <c r="I14" s="12"/>
      <c r="J14" s="51">
        <v>25969</v>
      </c>
      <c r="K14" s="12"/>
    </row>
    <row r="15" spans="1:11">
      <c r="A15" s="7">
        <v>11</v>
      </c>
      <c r="B15" s="8">
        <v>999999</v>
      </c>
      <c r="C15" s="9">
        <v>90</v>
      </c>
      <c r="D15" s="9">
        <v>13</v>
      </c>
      <c r="E15" s="10">
        <v>3</v>
      </c>
      <c r="F15" s="11"/>
      <c r="G15" s="12"/>
      <c r="H15" s="12"/>
      <c r="I15" s="12"/>
      <c r="J15" s="9">
        <v>20113</v>
      </c>
      <c r="K15" s="12"/>
    </row>
    <row r="16" spans="1:11">
      <c r="A16" s="7">
        <v>12</v>
      </c>
      <c r="B16" s="8"/>
      <c r="C16" s="9"/>
      <c r="D16" s="9"/>
      <c r="E16" s="10"/>
      <c r="F16" s="11"/>
      <c r="G16" s="12"/>
      <c r="H16" s="12"/>
      <c r="I16" s="12"/>
      <c r="J16" s="51"/>
      <c r="K16" s="12"/>
    </row>
    <row r="17" spans="1:11">
      <c r="A17" s="7">
        <v>13</v>
      </c>
      <c r="B17" s="8"/>
      <c r="C17" s="9"/>
      <c r="D17" s="9"/>
      <c r="E17" s="10"/>
      <c r="F17" s="11"/>
      <c r="G17" s="12"/>
      <c r="H17" s="12"/>
      <c r="I17" s="12"/>
      <c r="J17" s="51"/>
      <c r="K17" s="12"/>
    </row>
    <row r="18" spans="1:11">
      <c r="A18" s="7">
        <v>14</v>
      </c>
      <c r="B18" s="8"/>
      <c r="C18" s="13"/>
      <c r="D18" s="9"/>
      <c r="E18" s="10"/>
      <c r="F18" s="11"/>
      <c r="G18" s="12"/>
      <c r="H18" s="12"/>
      <c r="I18" s="12"/>
      <c r="J18" s="51"/>
      <c r="K18" s="12"/>
    </row>
    <row r="19" spans="1:11">
      <c r="A19" s="7">
        <v>15</v>
      </c>
      <c r="B19" s="14"/>
      <c r="C19" s="8"/>
      <c r="D19" s="8"/>
      <c r="E19" s="10"/>
      <c r="F19" s="15"/>
      <c r="G19" s="12"/>
      <c r="H19" s="12"/>
      <c r="I19" s="12"/>
      <c r="J19" s="60"/>
      <c r="K19" s="12"/>
    </row>
    <row r="20" spans="1:11">
      <c r="A20" s="7">
        <v>16</v>
      </c>
      <c r="B20" s="14"/>
      <c r="C20" s="8"/>
      <c r="D20" s="8"/>
      <c r="E20" s="10"/>
      <c r="F20" s="15"/>
      <c r="G20" s="12"/>
      <c r="H20" s="12"/>
      <c r="I20" s="12"/>
      <c r="J20" s="12"/>
      <c r="K20" s="12"/>
    </row>
    <row r="21" spans="1:11">
      <c r="A21" s="7">
        <v>17</v>
      </c>
      <c r="B21" s="14"/>
      <c r="C21" s="8"/>
      <c r="D21" s="8"/>
      <c r="E21" s="10"/>
      <c r="F21" s="15"/>
      <c r="G21" s="12"/>
      <c r="H21" s="12"/>
      <c r="I21" s="12"/>
      <c r="J21" s="12"/>
      <c r="K21" s="12"/>
    </row>
    <row r="22" spans="1:11">
      <c r="A22" s="7">
        <v>18</v>
      </c>
      <c r="B22" s="14"/>
      <c r="C22" s="8"/>
      <c r="D22" s="8"/>
      <c r="E22" s="10"/>
      <c r="F22" s="15"/>
      <c r="G22" s="12"/>
      <c r="H22" s="12"/>
      <c r="I22" s="12"/>
      <c r="J22" s="12"/>
      <c r="K22" s="12"/>
    </row>
    <row r="23" spans="1:11">
      <c r="A23" s="7">
        <v>19</v>
      </c>
      <c r="B23" s="14"/>
      <c r="C23" s="8"/>
      <c r="D23" s="8"/>
      <c r="E23" s="10"/>
      <c r="F23" s="15"/>
      <c r="G23" s="12"/>
      <c r="H23" s="12"/>
      <c r="I23" s="12"/>
      <c r="J23" s="12"/>
      <c r="K23" s="12"/>
    </row>
    <row r="24" spans="1:11">
      <c r="A24" s="7">
        <v>20</v>
      </c>
      <c r="B24" s="14"/>
      <c r="C24" s="8"/>
      <c r="D24" s="8"/>
      <c r="E24" s="10"/>
      <c r="F24" s="15"/>
      <c r="G24" s="12"/>
      <c r="H24" s="12"/>
      <c r="I24" s="12"/>
      <c r="J24" s="12"/>
      <c r="K24" s="12"/>
    </row>
    <row r="25" spans="1:11">
      <c r="A25" s="7">
        <v>21</v>
      </c>
      <c r="B25" s="14"/>
      <c r="C25" s="8"/>
      <c r="D25" s="8"/>
      <c r="E25" s="10"/>
      <c r="F25" s="15"/>
      <c r="G25" s="12"/>
      <c r="H25" s="12"/>
      <c r="I25" s="12"/>
      <c r="J25" s="12"/>
      <c r="K25" s="12"/>
    </row>
    <row r="26" spans="1:11">
      <c r="A26" s="7">
        <v>22</v>
      </c>
      <c r="B26" s="14"/>
      <c r="C26" s="8"/>
      <c r="D26" s="8"/>
      <c r="E26" s="10"/>
      <c r="F26" s="15"/>
      <c r="G26" s="12"/>
      <c r="H26" s="12"/>
      <c r="I26" s="12"/>
      <c r="J26" s="12"/>
      <c r="K26" s="12"/>
    </row>
    <row r="27" spans="1:11">
      <c r="A27" s="7">
        <v>23</v>
      </c>
      <c r="B27" s="14"/>
      <c r="C27" s="8"/>
      <c r="D27" s="8"/>
      <c r="E27" s="10"/>
      <c r="F27" s="15"/>
      <c r="G27" s="12"/>
      <c r="H27" s="12"/>
      <c r="I27" s="12"/>
      <c r="J27" s="12"/>
      <c r="K27" s="12"/>
    </row>
    <row r="28" spans="1:11">
      <c r="A28" s="7">
        <v>24</v>
      </c>
      <c r="B28" s="14"/>
      <c r="C28" s="8"/>
      <c r="D28" s="8"/>
      <c r="E28" s="10"/>
      <c r="F28" s="15"/>
      <c r="G28" s="12"/>
      <c r="H28" s="12"/>
      <c r="I28" s="12"/>
      <c r="J28" s="12"/>
      <c r="K28" s="12"/>
    </row>
    <row r="29" spans="1:11">
      <c r="A29" s="7">
        <v>25</v>
      </c>
      <c r="B29" s="14"/>
      <c r="C29" s="8"/>
      <c r="D29" s="8"/>
      <c r="E29" s="10"/>
      <c r="F29" s="15"/>
      <c r="G29" s="12"/>
      <c r="H29" s="12"/>
      <c r="I29" s="12"/>
      <c r="J29" s="12"/>
      <c r="K29" s="12"/>
    </row>
    <row r="30" spans="1:11">
      <c r="A30" s="7">
        <v>26</v>
      </c>
      <c r="B30" s="14"/>
      <c r="C30" s="8"/>
      <c r="D30" s="8"/>
      <c r="E30" s="10"/>
      <c r="F30" s="15"/>
      <c r="G30" s="12"/>
      <c r="H30" s="12"/>
      <c r="I30" s="12"/>
      <c r="J30" s="12"/>
      <c r="K30" s="12"/>
    </row>
    <row r="31" spans="1:11">
      <c r="A31" s="7">
        <v>27</v>
      </c>
      <c r="B31" s="14"/>
      <c r="C31" s="8"/>
      <c r="D31" s="8"/>
      <c r="E31" s="10"/>
      <c r="F31" s="15"/>
      <c r="G31" s="12"/>
      <c r="H31" s="12"/>
      <c r="I31" s="12"/>
      <c r="J31" s="12"/>
      <c r="K31" s="12"/>
    </row>
    <row r="32" spans="1:11">
      <c r="A32" s="7">
        <v>28</v>
      </c>
      <c r="B32" s="14"/>
      <c r="C32" s="8"/>
      <c r="D32" s="8"/>
      <c r="E32" s="10"/>
      <c r="F32" s="15"/>
      <c r="G32" s="12"/>
      <c r="H32" s="12"/>
      <c r="I32" s="12"/>
      <c r="J32" s="12"/>
      <c r="K32" s="12"/>
    </row>
    <row r="33" spans="1:11">
      <c r="A33" s="7">
        <v>29</v>
      </c>
      <c r="B33" s="14"/>
      <c r="C33" s="8"/>
      <c r="D33" s="8"/>
      <c r="E33" s="10"/>
      <c r="F33" s="15"/>
      <c r="G33" s="12"/>
      <c r="H33" s="12"/>
      <c r="I33" s="12"/>
      <c r="J33" s="12"/>
      <c r="K33" s="12"/>
    </row>
    <row r="34" spans="1:11">
      <c r="A34" s="7">
        <v>30</v>
      </c>
      <c r="B34" s="14"/>
      <c r="C34" s="8"/>
      <c r="D34" s="8"/>
      <c r="E34" s="10"/>
      <c r="F34" s="15"/>
      <c r="G34" s="12"/>
      <c r="H34" s="12"/>
      <c r="I34" s="12"/>
      <c r="J34" s="12"/>
      <c r="K34" s="12"/>
    </row>
    <row r="35" ht="15.15" spans="1:11">
      <c r="A35" s="16">
        <v>31</v>
      </c>
      <c r="B35" s="17"/>
      <c r="C35" s="18"/>
      <c r="D35" s="18"/>
      <c r="E35" s="19"/>
      <c r="F35" s="15"/>
      <c r="G35" s="12"/>
      <c r="H35" s="12"/>
      <c r="I35" s="53"/>
      <c r="J35" s="12"/>
      <c r="K35" s="12"/>
    </row>
    <row r="36" spans="1:11">
      <c r="A36" s="20" t="s">
        <v>14</v>
      </c>
      <c r="B36" s="21"/>
      <c r="C36" s="22">
        <f>SUM(C5:C35)</f>
        <v>298</v>
      </c>
      <c r="D36" s="23">
        <f>SUM(D5:D35)</f>
        <v>44.71</v>
      </c>
      <c r="E36" s="24">
        <f>SUM(E5:E35)</f>
        <v>3</v>
      </c>
      <c r="F36" s="25"/>
      <c r="G36" s="26"/>
      <c r="H36" s="26"/>
      <c r="I36" s="54"/>
      <c r="J36" s="55"/>
      <c r="K36" s="55"/>
    </row>
    <row r="37" ht="15.15" spans="1:11">
      <c r="A37" s="27" t="s">
        <v>15</v>
      </c>
      <c r="B37" s="28"/>
      <c r="C37" s="29">
        <f>C36/8</f>
        <v>37.25</v>
      </c>
      <c r="D37" s="30"/>
      <c r="E37" s="31"/>
      <c r="F37" s="25"/>
      <c r="G37" s="26"/>
      <c r="H37" s="26"/>
      <c r="I37" s="56"/>
      <c r="J37" s="55"/>
      <c r="K37" s="55"/>
    </row>
    <row r="38" ht="15.15" spans="1:11">
      <c r="A38" s="32" t="s">
        <v>16</v>
      </c>
      <c r="B38" s="33"/>
      <c r="C38" s="34"/>
      <c r="D38" s="35"/>
      <c r="E38" s="36">
        <f>C38+D38</f>
        <v>0</v>
      </c>
      <c r="F38" s="25"/>
      <c r="G38" s="26"/>
      <c r="H38" s="26"/>
      <c r="I38" s="26"/>
      <c r="J38" s="26"/>
      <c r="K38" s="55"/>
    </row>
    <row r="39" ht="15.15" spans="1:11">
      <c r="A39" s="37" t="s">
        <v>17</v>
      </c>
      <c r="B39" s="38"/>
      <c r="C39" s="38"/>
      <c r="D39" s="38"/>
      <c r="E39" s="38"/>
      <c r="F39" s="38"/>
      <c r="G39" s="38"/>
      <c r="H39" s="38"/>
      <c r="I39" s="57"/>
      <c r="J39" s="55"/>
      <c r="K39" s="55"/>
    </row>
    <row r="40" ht="15.15" spans="1:11">
      <c r="A40" s="39" t="s">
        <v>18</v>
      </c>
      <c r="B40" s="39"/>
      <c r="C40" s="39"/>
      <c r="D40" s="40"/>
      <c r="E40" s="41"/>
      <c r="F40" s="42" t="s">
        <v>19</v>
      </c>
      <c r="G40" s="43"/>
      <c r="H40" s="44"/>
      <c r="I40" s="58" t="s">
        <v>20</v>
      </c>
      <c r="J40" s="55"/>
      <c r="K40" s="55"/>
    </row>
    <row r="41" ht="15.15" spans="1:11">
      <c r="A41" s="45" t="s">
        <v>21</v>
      </c>
      <c r="B41" s="45"/>
      <c r="C41" s="45"/>
      <c r="D41" s="45"/>
      <c r="E41" s="46"/>
      <c r="F41" s="47"/>
      <c r="G41" s="48" t="s">
        <v>20</v>
      </c>
      <c r="H41" s="49"/>
      <c r="I41" s="59"/>
      <c r="J41" s="55"/>
      <c r="K41" s="55"/>
    </row>
  </sheetData>
  <mergeCells count="15">
    <mergeCell ref="A1:K1"/>
    <mergeCell ref="A2:K2"/>
    <mergeCell ref="A3:K3"/>
    <mergeCell ref="A36:B36"/>
    <mergeCell ref="A37:B37"/>
    <mergeCell ref="A38:B38"/>
    <mergeCell ref="A39:I39"/>
    <mergeCell ref="A40:D40"/>
    <mergeCell ref="F40:H40"/>
    <mergeCell ref="A41:F41"/>
    <mergeCell ref="G41:I41"/>
    <mergeCell ref="D36:D37"/>
    <mergeCell ref="E36:E37"/>
    <mergeCell ref="F36:F37"/>
    <mergeCell ref="I36:I3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F19" sqref="F19"/>
    </sheetView>
  </sheetViews>
  <sheetFormatPr defaultColWidth="8.79279279279279" defaultRowHeight="14.4"/>
  <cols>
    <col min="1" max="1" width="5.3963963963964" style="1" customWidth="1"/>
    <col min="2" max="2" width="12.7837837837838" style="1" customWidth="1"/>
    <col min="3" max="3" width="9.48648648648649" style="1" customWidth="1"/>
    <col min="4" max="4" width="7.38738738738739" style="1" customWidth="1"/>
    <col min="5" max="5" width="17.1711711711712" style="1" customWidth="1"/>
    <col min="6" max="6" width="22.972972972973" style="1" customWidth="1"/>
    <col min="7" max="7" width="11.5765765765766" style="1" customWidth="1"/>
    <col min="8" max="8" width="9.77477477477477" style="1" customWidth="1"/>
    <col min="9" max="9" width="12.3693693693694" style="1" customWidth="1"/>
    <col min="10" max="10" width="11.5945945945946" style="1" customWidth="1"/>
    <col min="11" max="11" width="9.68468468468468" style="1" customWidth="1"/>
  </cols>
  <sheetData>
    <row r="1" ht="18.2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23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spans="1:11">
      <c r="A5" s="7">
        <v>1</v>
      </c>
      <c r="B5" s="8">
        <v>200012</v>
      </c>
      <c r="C5" s="9">
        <v>16</v>
      </c>
      <c r="D5" s="9">
        <v>0</v>
      </c>
      <c r="E5" s="10">
        <v>0</v>
      </c>
      <c r="F5" s="11"/>
      <c r="G5" s="12"/>
      <c r="H5" s="12"/>
      <c r="I5" s="12"/>
      <c r="J5" s="50">
        <v>20240</v>
      </c>
      <c r="K5" s="12"/>
    </row>
    <row r="6" spans="1:11">
      <c r="A6" s="7">
        <v>2</v>
      </c>
      <c r="B6" s="8">
        <v>200013</v>
      </c>
      <c r="C6" s="9">
        <v>8</v>
      </c>
      <c r="D6" s="9">
        <v>0</v>
      </c>
      <c r="E6" s="10">
        <v>0</v>
      </c>
      <c r="F6" s="11"/>
      <c r="G6" s="12"/>
      <c r="H6" s="12"/>
      <c r="I6" s="12"/>
      <c r="J6" s="50">
        <v>23018</v>
      </c>
      <c r="K6" s="12"/>
    </row>
    <row r="7" spans="1:11">
      <c r="A7" s="7">
        <v>3</v>
      </c>
      <c r="B7" s="8">
        <v>200014</v>
      </c>
      <c r="C7" s="9">
        <v>32</v>
      </c>
      <c r="D7" s="9">
        <v>0</v>
      </c>
      <c r="E7" s="10">
        <v>0</v>
      </c>
      <c r="F7" s="11"/>
      <c r="G7" s="12"/>
      <c r="H7" s="12"/>
      <c r="I7" s="12"/>
      <c r="J7" s="51">
        <v>23321</v>
      </c>
      <c r="K7" s="12"/>
    </row>
    <row r="8" spans="1:11">
      <c r="A8" s="7">
        <v>4</v>
      </c>
      <c r="B8" s="8">
        <v>200015</v>
      </c>
      <c r="C8" s="9">
        <v>8</v>
      </c>
      <c r="D8" s="9">
        <v>0</v>
      </c>
      <c r="E8" s="10">
        <v>0</v>
      </c>
      <c r="F8" s="11"/>
      <c r="G8" s="12"/>
      <c r="H8" s="12"/>
      <c r="I8" s="12"/>
      <c r="J8" s="51">
        <v>25121</v>
      </c>
      <c r="K8" s="12"/>
    </row>
    <row r="9" spans="1:11">
      <c r="A9" s="7">
        <v>5</v>
      </c>
      <c r="B9" s="8">
        <v>200016</v>
      </c>
      <c r="C9" s="9">
        <v>8</v>
      </c>
      <c r="D9" s="9">
        <v>0</v>
      </c>
      <c r="E9" s="10">
        <v>0</v>
      </c>
      <c r="F9" s="11"/>
      <c r="G9" s="12"/>
      <c r="H9" s="12"/>
      <c r="I9" s="12"/>
      <c r="J9" s="51">
        <v>25122</v>
      </c>
      <c r="K9" s="12"/>
    </row>
    <row r="10" spans="1:11">
      <c r="A10" s="7">
        <v>6</v>
      </c>
      <c r="B10" s="8">
        <v>200017</v>
      </c>
      <c r="C10" s="9">
        <v>16</v>
      </c>
      <c r="D10" s="9">
        <v>0</v>
      </c>
      <c r="E10" s="10">
        <v>0</v>
      </c>
      <c r="F10" s="11"/>
      <c r="G10" s="12"/>
      <c r="H10" s="12"/>
      <c r="I10" s="12"/>
      <c r="J10" s="51">
        <v>25223</v>
      </c>
      <c r="K10" s="12"/>
    </row>
    <row r="11" spans="1:11">
      <c r="A11" s="7">
        <v>7</v>
      </c>
      <c r="B11" s="8">
        <v>200018</v>
      </c>
      <c r="C11" s="9">
        <v>31</v>
      </c>
      <c r="D11" s="9">
        <v>0</v>
      </c>
      <c r="E11" s="10">
        <v>0</v>
      </c>
      <c r="F11" s="11"/>
      <c r="G11" s="12"/>
      <c r="H11" s="12"/>
      <c r="I11" s="12"/>
      <c r="J11" s="51">
        <v>25320</v>
      </c>
      <c r="K11" s="12"/>
    </row>
    <row r="12" spans="1:11">
      <c r="A12" s="7">
        <v>8</v>
      </c>
      <c r="B12" s="8">
        <v>200019</v>
      </c>
      <c r="C12" s="9">
        <v>96</v>
      </c>
      <c r="D12" s="9">
        <v>0</v>
      </c>
      <c r="E12" s="10">
        <v>0</v>
      </c>
      <c r="F12" s="11"/>
      <c r="G12" s="12"/>
      <c r="H12" s="12"/>
      <c r="I12" s="12"/>
      <c r="J12" s="51">
        <v>25325</v>
      </c>
      <c r="K12" s="12"/>
    </row>
    <row r="13" spans="1:11">
      <c r="A13" s="7">
        <v>9</v>
      </c>
      <c r="B13" s="8">
        <v>200020</v>
      </c>
      <c r="C13" s="9">
        <v>8</v>
      </c>
      <c r="D13" s="9">
        <v>0.75</v>
      </c>
      <c r="E13" s="10">
        <v>0</v>
      </c>
      <c r="F13" s="11"/>
      <c r="G13" s="12"/>
      <c r="H13" s="12"/>
      <c r="I13" s="12"/>
      <c r="J13" s="51">
        <v>25934</v>
      </c>
      <c r="K13" s="12"/>
    </row>
    <row r="14" spans="1:11">
      <c r="A14" s="7">
        <v>10</v>
      </c>
      <c r="B14" s="8">
        <v>200021</v>
      </c>
      <c r="C14" s="9">
        <v>8</v>
      </c>
      <c r="D14" s="9">
        <v>0</v>
      </c>
      <c r="E14" s="10">
        <v>0</v>
      </c>
      <c r="F14" s="11"/>
      <c r="G14" s="12"/>
      <c r="H14" s="12"/>
      <c r="I14" s="12"/>
      <c r="J14" s="51">
        <v>25966</v>
      </c>
      <c r="K14" s="12"/>
    </row>
    <row r="15" spans="1:11">
      <c r="A15" s="7">
        <v>11</v>
      </c>
      <c r="B15" s="8">
        <v>999999</v>
      </c>
      <c r="C15" s="9">
        <v>15</v>
      </c>
      <c r="D15" s="9">
        <v>19</v>
      </c>
      <c r="E15" s="10">
        <v>7</v>
      </c>
      <c r="F15" s="11"/>
      <c r="G15" s="12"/>
      <c r="H15" s="12"/>
      <c r="I15" s="12"/>
      <c r="J15" s="9">
        <v>20113</v>
      </c>
      <c r="K15" s="12"/>
    </row>
    <row r="16" spans="1:11">
      <c r="A16" s="7">
        <v>12</v>
      </c>
      <c r="B16" s="8"/>
      <c r="C16" s="9"/>
      <c r="D16" s="9"/>
      <c r="E16" s="10"/>
      <c r="F16" s="11"/>
      <c r="G16" s="12"/>
      <c r="H16" s="12"/>
      <c r="I16" s="12"/>
      <c r="J16" s="51"/>
      <c r="K16" s="12"/>
    </row>
    <row r="17" spans="1:11">
      <c r="A17" s="7">
        <v>13</v>
      </c>
      <c r="B17" s="8"/>
      <c r="C17" s="9"/>
      <c r="D17" s="9"/>
      <c r="E17" s="10"/>
      <c r="F17" s="11"/>
      <c r="G17" s="12"/>
      <c r="H17" s="12"/>
      <c r="I17" s="12"/>
      <c r="J17" s="51"/>
      <c r="K17" s="12"/>
    </row>
    <row r="18" spans="1:11">
      <c r="A18" s="7">
        <v>14</v>
      </c>
      <c r="B18" s="8"/>
      <c r="C18" s="13"/>
      <c r="D18" s="9"/>
      <c r="E18" s="10"/>
      <c r="F18" s="11"/>
      <c r="G18" s="12"/>
      <c r="H18" s="12"/>
      <c r="I18" s="12"/>
      <c r="J18" s="51"/>
      <c r="K18" s="12"/>
    </row>
    <row r="19" spans="1:11">
      <c r="A19" s="7">
        <v>15</v>
      </c>
      <c r="B19" s="14"/>
      <c r="C19" s="8"/>
      <c r="D19" s="8"/>
      <c r="E19" s="10"/>
      <c r="F19" s="15"/>
      <c r="G19" s="12"/>
      <c r="H19" s="12"/>
      <c r="I19" s="12"/>
      <c r="J19" s="51"/>
      <c r="K19" s="12"/>
    </row>
    <row r="20" spans="1:11">
      <c r="A20" s="7">
        <v>16</v>
      </c>
      <c r="B20" s="14"/>
      <c r="C20" s="8"/>
      <c r="D20" s="8"/>
      <c r="E20" s="10"/>
      <c r="F20" s="15"/>
      <c r="G20" s="12"/>
      <c r="H20" s="12"/>
      <c r="I20" s="12"/>
      <c r="J20" s="52"/>
      <c r="K20" s="12"/>
    </row>
    <row r="21" spans="1:11">
      <c r="A21" s="7">
        <v>17</v>
      </c>
      <c r="B21" s="14"/>
      <c r="C21" s="8"/>
      <c r="D21" s="8"/>
      <c r="E21" s="10"/>
      <c r="F21" s="15"/>
      <c r="G21" s="12"/>
      <c r="H21" s="12"/>
      <c r="I21" s="12"/>
      <c r="J21" s="12"/>
      <c r="K21" s="12"/>
    </row>
    <row r="22" spans="1:11">
      <c r="A22" s="7">
        <v>18</v>
      </c>
      <c r="B22" s="14"/>
      <c r="C22" s="8"/>
      <c r="D22" s="8"/>
      <c r="E22" s="10"/>
      <c r="F22" s="15"/>
      <c r="G22" s="12"/>
      <c r="H22" s="12"/>
      <c r="I22" s="12"/>
      <c r="J22" s="12"/>
      <c r="K22" s="12"/>
    </row>
    <row r="23" spans="1:11">
      <c r="A23" s="7">
        <v>19</v>
      </c>
      <c r="B23" s="14"/>
      <c r="C23" s="8"/>
      <c r="D23" s="8"/>
      <c r="E23" s="10"/>
      <c r="F23" s="15"/>
      <c r="G23" s="12"/>
      <c r="H23" s="12"/>
      <c r="I23" s="12"/>
      <c r="J23" s="12"/>
      <c r="K23" s="12"/>
    </row>
    <row r="24" spans="1:11">
      <c r="A24" s="7">
        <v>20</v>
      </c>
      <c r="B24" s="14"/>
      <c r="C24" s="8"/>
      <c r="D24" s="8"/>
      <c r="E24" s="10"/>
      <c r="F24" s="15"/>
      <c r="G24" s="12"/>
      <c r="H24" s="12"/>
      <c r="I24" s="12"/>
      <c r="J24" s="12"/>
      <c r="K24" s="12"/>
    </row>
    <row r="25" spans="1:11">
      <c r="A25" s="7">
        <v>21</v>
      </c>
      <c r="B25" s="14"/>
      <c r="C25" s="8"/>
      <c r="D25" s="8"/>
      <c r="E25" s="10"/>
      <c r="F25" s="15"/>
      <c r="G25" s="12"/>
      <c r="H25" s="12"/>
      <c r="I25" s="12"/>
      <c r="J25" s="12"/>
      <c r="K25" s="12"/>
    </row>
    <row r="26" spans="1:11">
      <c r="A26" s="7">
        <v>22</v>
      </c>
      <c r="B26" s="14"/>
      <c r="C26" s="8"/>
      <c r="D26" s="8"/>
      <c r="E26" s="10"/>
      <c r="F26" s="15"/>
      <c r="G26" s="12"/>
      <c r="H26" s="12"/>
      <c r="I26" s="12"/>
      <c r="J26" s="12"/>
      <c r="K26" s="12"/>
    </row>
    <row r="27" spans="1:11">
      <c r="A27" s="7">
        <v>23</v>
      </c>
      <c r="B27" s="14"/>
      <c r="C27" s="8"/>
      <c r="D27" s="8"/>
      <c r="E27" s="10"/>
      <c r="F27" s="15"/>
      <c r="G27" s="12"/>
      <c r="H27" s="12"/>
      <c r="I27" s="12"/>
      <c r="J27" s="12"/>
      <c r="K27" s="12"/>
    </row>
    <row r="28" spans="1:11">
      <c r="A28" s="7">
        <v>24</v>
      </c>
      <c r="B28" s="14"/>
      <c r="C28" s="8"/>
      <c r="D28" s="8"/>
      <c r="E28" s="10"/>
      <c r="F28" s="15"/>
      <c r="G28" s="12"/>
      <c r="H28" s="12"/>
      <c r="I28" s="12"/>
      <c r="J28" s="12"/>
      <c r="K28" s="12"/>
    </row>
    <row r="29" spans="1:11">
      <c r="A29" s="7">
        <v>25</v>
      </c>
      <c r="B29" s="14"/>
      <c r="C29" s="8"/>
      <c r="D29" s="8"/>
      <c r="E29" s="10"/>
      <c r="F29" s="15"/>
      <c r="G29" s="12"/>
      <c r="H29" s="12"/>
      <c r="I29" s="12"/>
      <c r="J29" s="12"/>
      <c r="K29" s="12"/>
    </row>
    <row r="30" spans="1:11">
      <c r="A30" s="7">
        <v>26</v>
      </c>
      <c r="B30" s="14"/>
      <c r="C30" s="8"/>
      <c r="D30" s="8"/>
      <c r="E30" s="10"/>
      <c r="F30" s="15"/>
      <c r="G30" s="12"/>
      <c r="H30" s="12"/>
      <c r="I30" s="12"/>
      <c r="J30" s="12"/>
      <c r="K30" s="12"/>
    </row>
    <row r="31" spans="1:11">
      <c r="A31" s="7">
        <v>27</v>
      </c>
      <c r="B31" s="14"/>
      <c r="C31" s="8"/>
      <c r="D31" s="8"/>
      <c r="E31" s="10"/>
      <c r="F31" s="15"/>
      <c r="G31" s="12"/>
      <c r="H31" s="12"/>
      <c r="I31" s="12"/>
      <c r="J31" s="12"/>
      <c r="K31" s="12"/>
    </row>
    <row r="32" spans="1:11">
      <c r="A32" s="7">
        <v>28</v>
      </c>
      <c r="B32" s="14"/>
      <c r="C32" s="8"/>
      <c r="D32" s="8"/>
      <c r="E32" s="10"/>
      <c r="F32" s="15"/>
      <c r="G32" s="12"/>
      <c r="H32" s="12"/>
      <c r="I32" s="12"/>
      <c r="J32" s="12"/>
      <c r="K32" s="12"/>
    </row>
    <row r="33" spans="1:11">
      <c r="A33" s="7">
        <v>29</v>
      </c>
      <c r="B33" s="14"/>
      <c r="C33" s="8"/>
      <c r="D33" s="8"/>
      <c r="E33" s="10"/>
      <c r="F33" s="15"/>
      <c r="G33" s="12"/>
      <c r="H33" s="12"/>
      <c r="I33" s="12"/>
      <c r="J33" s="12"/>
      <c r="K33" s="12"/>
    </row>
    <row r="34" spans="1:11">
      <c r="A34" s="7">
        <v>30</v>
      </c>
      <c r="B34" s="14"/>
      <c r="C34" s="8"/>
      <c r="D34" s="8"/>
      <c r="E34" s="10"/>
      <c r="F34" s="15"/>
      <c r="G34" s="12"/>
      <c r="H34" s="12"/>
      <c r="I34" s="12"/>
      <c r="J34" s="12"/>
      <c r="K34" s="12"/>
    </row>
    <row r="35" ht="15.15" spans="1:11">
      <c r="A35" s="16">
        <v>31</v>
      </c>
      <c r="B35" s="17"/>
      <c r="C35" s="18"/>
      <c r="D35" s="18"/>
      <c r="E35" s="19"/>
      <c r="F35" s="15"/>
      <c r="G35" s="12"/>
      <c r="H35" s="12"/>
      <c r="I35" s="53"/>
      <c r="J35" s="12"/>
      <c r="K35" s="12"/>
    </row>
    <row r="36" spans="1:11">
      <c r="A36" s="20" t="s">
        <v>14</v>
      </c>
      <c r="B36" s="21"/>
      <c r="C36" s="22">
        <f>SUM(C5:C35)</f>
        <v>246</v>
      </c>
      <c r="D36" s="23">
        <f>SUM(D5:D35)</f>
        <v>19.75</v>
      </c>
      <c r="E36" s="24">
        <f>SUM(E5:E35)</f>
        <v>7</v>
      </c>
      <c r="F36" s="25"/>
      <c r="G36" s="26"/>
      <c r="H36" s="26"/>
      <c r="I36" s="54"/>
      <c r="J36" s="55"/>
      <c r="K36" s="55"/>
    </row>
    <row r="37" ht="15.15" spans="1:11">
      <c r="A37" s="27" t="s">
        <v>15</v>
      </c>
      <c r="B37" s="28"/>
      <c r="C37" s="29">
        <f>C36/8</f>
        <v>30.75</v>
      </c>
      <c r="D37" s="30"/>
      <c r="E37" s="31"/>
      <c r="F37" s="25"/>
      <c r="G37" s="26"/>
      <c r="H37" s="26"/>
      <c r="I37" s="56"/>
      <c r="J37" s="55"/>
      <c r="K37" s="55"/>
    </row>
    <row r="38" ht="15.15" spans="1:11">
      <c r="A38" s="32" t="s">
        <v>16</v>
      </c>
      <c r="B38" s="33"/>
      <c r="C38" s="34"/>
      <c r="D38" s="35"/>
      <c r="E38" s="36">
        <f>C38+D38</f>
        <v>0</v>
      </c>
      <c r="F38" s="25"/>
      <c r="G38" s="26"/>
      <c r="H38" s="26"/>
      <c r="I38" s="26"/>
      <c r="J38" s="26"/>
      <c r="K38" s="55"/>
    </row>
    <row r="39" ht="15.15" spans="1:11">
      <c r="A39" s="37" t="s">
        <v>17</v>
      </c>
      <c r="B39" s="38"/>
      <c r="C39" s="38"/>
      <c r="D39" s="38"/>
      <c r="E39" s="38"/>
      <c r="F39" s="38"/>
      <c r="G39" s="38"/>
      <c r="H39" s="38"/>
      <c r="I39" s="57"/>
      <c r="J39" s="55"/>
      <c r="K39" s="55"/>
    </row>
    <row r="40" ht="15.15" spans="1:11">
      <c r="A40" s="39" t="s">
        <v>18</v>
      </c>
      <c r="B40" s="39"/>
      <c r="C40" s="39"/>
      <c r="D40" s="40"/>
      <c r="E40" s="41"/>
      <c r="F40" s="42" t="s">
        <v>19</v>
      </c>
      <c r="G40" s="43"/>
      <c r="H40" s="44"/>
      <c r="I40" s="58" t="s">
        <v>20</v>
      </c>
      <c r="J40" s="55"/>
      <c r="K40" s="55"/>
    </row>
    <row r="41" ht="15.15" spans="1:11">
      <c r="A41" s="45" t="s">
        <v>21</v>
      </c>
      <c r="B41" s="45"/>
      <c r="C41" s="45"/>
      <c r="D41" s="45"/>
      <c r="E41" s="46"/>
      <c r="F41" s="47"/>
      <c r="G41" s="48" t="s">
        <v>20</v>
      </c>
      <c r="H41" s="49"/>
      <c r="I41" s="59"/>
      <c r="J41" s="55"/>
      <c r="K41" s="55"/>
    </row>
  </sheetData>
  <mergeCells count="15">
    <mergeCell ref="A1:K1"/>
    <mergeCell ref="A2:K2"/>
    <mergeCell ref="A3:K3"/>
    <mergeCell ref="A36:B36"/>
    <mergeCell ref="A37:B37"/>
    <mergeCell ref="A38:B38"/>
    <mergeCell ref="A39:I39"/>
    <mergeCell ref="A40:D40"/>
    <mergeCell ref="F40:H40"/>
    <mergeCell ref="A41:F41"/>
    <mergeCell ref="G41:I41"/>
    <mergeCell ref="D36:D37"/>
    <mergeCell ref="E36:E37"/>
    <mergeCell ref="F36:F37"/>
    <mergeCell ref="I36:I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F15</vt:lpstr>
      <vt:lpstr>F20</vt:lpstr>
      <vt:lpstr>TRX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2026-01-27T12:54:00Z</dcterms:created>
  <dcterms:modified xsi:type="dcterms:W3CDTF">2026-01-27T13:50:46Z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B3428089052E417FBA5F993F50E2BD15_11</vt:lpwstr>
  </property>
  <property fmtid="{D5CDD505-2E9C-101B-9397-08002B2CF9AE}" pid="3" name="KSOProductBuildVer">
    <vt:lpwstr>2057-12.2.0.23197</vt:lpwstr>
  </property>
</Properties>
</file>